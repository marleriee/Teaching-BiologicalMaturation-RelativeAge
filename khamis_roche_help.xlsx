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tep-by-step" sheetId="2" state="visible" r:id="rId4"/>
    <sheet name="KR Coefficients" sheetId="3" state="visible" r:id="rId5"/>
    <sheet name="Try it" sheetId="4" state="visible" r:id="rId6"/>
    <sheet name="Plot exampl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<sst xmlns="http://schemas.openxmlformats.org/spreadsheetml/2006/main" count="179" uniqueCount="156">
  <si>
    <t xml:space="preserve">Khamis-Roche calculation — student help</t>
  </si>
  <si>
    <t xml:space="preserve">A short walkthrough for calculating biological maturity from current height, current weight, and parents' heights, plus simple instructions for the four plots you need.</t>
  </si>
  <si>
    <t xml:space="preserve">What this workbook contains</t>
  </si>
  <si>
    <t xml:space="preserve">1.  Step-by-step — one worked example so you can see each calculation done by hand.</t>
  </si>
  <si>
    <t xml:space="preserve">2.  KR Coefficients — the lookup table for the regression coefficients.</t>
  </si>
  <si>
    <t xml:space="preserve">3.  Try it — a template with the formulas already wired up; paste your squad in and the columns recalculate.</t>
  </si>
  <si>
    <t xml:space="preserve">4.  Plot examples — what the four plots should look like and how to make them in Excel.</t>
  </si>
  <si>
    <t xml:space="preserve">What is Khamis-Roche?</t>
  </si>
  <si>
    <t xml:space="preserve">Khamis-Roche is a non-invasive method that estimates a child's predicted adult height (PAH) from three things they already know: current standing height, current weight, and their parents' heights. Once you have PAH, you compare it to the child's current height. The ratio is %PAH = (current height / PAH) × 100.</t>
  </si>
  <si>
    <t xml:space="preserve">%PAH tells you how far through their growth the child is. A child at 88% of their adult height is biologically less mature than a child at 95% — even if they are the same age in years.</t>
  </si>
  <si>
    <t xml:space="preserve">Maturity bands you will use</t>
  </si>
  <si>
    <t xml:space="preserve">Maturity classification (Khamis &amp; Roche, 1994):</t>
  </si>
  <si>
    <t xml:space="preserve">    %PAH &lt; 88%   →  late maturer</t>
  </si>
  <si>
    <t xml:space="preserve">    88-96% PAH   →  on time</t>
  </si>
  <si>
    <t xml:space="preserve">    %PAH &gt; 96%   →  early maturer</t>
  </si>
  <si>
    <t xml:space="preserve">Quick reference — the formula</t>
  </si>
  <si>
    <t xml:space="preserve">Three steps</t>
  </si>
  <si>
    <t xml:space="preserve">Step 1.  Adjusted mid-parental height (MPH_adj):</t>
  </si>
  <si>
    <t xml:space="preserve">         Boys:   MPH_adj = (mom_height + dad_height) / 2 + 6.5</t>
  </si>
  <si>
    <t xml:space="preserve">         Girls:  MPH_adj = (mom_height + dad_height) / 2 - 6.5</t>
  </si>
  <si>
    <t xml:space="preserve">Step 2.  Predicted adult height (PAH):</t>
  </si>
  <si>
    <t xml:space="preserve">         PAH = b0 + b1 × current_height + b2 × current_weight + b3 × MPH_adj</t>
  </si>
  <si>
    <t xml:space="preserve">         (look up b0, b1, b2, b3 from the KR Coefficients sheet using</t>
  </si>
  <si>
    <t xml:space="preserve">          the player's sex and chronological age)</t>
  </si>
  <si>
    <t xml:space="preserve">Step 3.  %PAH:</t>
  </si>
  <si>
    <t xml:space="preserve">         %PAH = (current_height / PAH) × 100</t>
  </si>
  <si>
    <t xml:space="preserve">Reminder</t>
  </si>
  <si>
    <t xml:space="preserve">Khamis-Roche assumes parents' reported heights are accurate (they almost never are — people round up). It also assumes the child is biologically the offspring of the listed parents. Document these assumptions in your report.</t>
  </si>
  <si>
    <t xml:space="preserve">Step-by-step worked example</t>
  </si>
  <si>
    <t xml:space="preserve">We will calculate %PAH for one boy in the U16 hockey squad. Follow each step. The same logic applies to every player.</t>
  </si>
  <si>
    <t xml:space="preserve">The player</t>
  </si>
  <si>
    <t xml:space="preserve">Inputs</t>
  </si>
  <si>
    <t xml:space="preserve">Name:                 Magnus Hansen</t>
  </si>
  <si>
    <t xml:space="preserve">Sex:                  Male</t>
  </si>
  <si>
    <t xml:space="preserve">Chronological age:    15.8 years</t>
  </si>
  <si>
    <t xml:space="preserve">Current height:       182 cm</t>
  </si>
  <si>
    <t xml:space="preserve">Current weight:       72 kg</t>
  </si>
  <si>
    <t xml:space="preserve">Mom's height:         168 cm</t>
  </si>
  <si>
    <t xml:space="preserve">Dad's height:         185 cm</t>
  </si>
  <si>
    <t xml:space="preserve">Step 1 — Adjusted mid-parental height</t>
  </si>
  <si>
    <t xml:space="preserve">Average the parents' heights, then adjust for sex (+6.5 for boys, -6.5 for girls):</t>
  </si>
  <si>
    <t xml:space="preserve">    MPH_raw = (168 + 185) / 2 = 176.5 cm</t>
  </si>
  <si>
    <t xml:space="preserve">    MPH_adj = 176.5 + 6.5 = 183.0 cm</t>
  </si>
  <si>
    <t xml:space="preserve">Step 2 — Look up the coefficients</t>
  </si>
  <si>
    <t xml:space="preserve">Magnus is a 15.8-year-old boy, so we use the row for sex='M' and age 15.5–16.5 in the KR Coefficients sheet:</t>
  </si>
  <si>
    <t xml:space="preserve">Sex</t>
  </si>
  <si>
    <t xml:space="preserve">Age range</t>
  </si>
  <si>
    <t xml:space="preserve">b0</t>
  </si>
  <si>
    <t xml:space="preserve">b1 (height)</t>
  </si>
  <si>
    <t xml:space="preserve">b2 (weight)</t>
  </si>
  <si>
    <t xml:space="preserve">b3 (MPH_adj)</t>
  </si>
  <si>
    <t xml:space="preserve">M</t>
  </si>
  <si>
    <t xml:space="preserve">15.5 - 16.5</t>
  </si>
  <si>
    <t xml:space="preserve">Step 3 — Calculate predicted adult height (PAH)</t>
  </si>
  <si>
    <t xml:space="preserve">Plug in:</t>
  </si>
  <si>
    <t xml:space="preserve">    PAH = 20.0 + 0.50 × 182 + 0.10 × 72 + 0.40 × 183.0</t>
  </si>
  <si>
    <t xml:space="preserve">        = 20.0 + 91.0 + 7.2 + 73.2</t>
  </si>
  <si>
    <t xml:space="preserve">        = 191.4 cm</t>
  </si>
  <si>
    <t xml:space="preserve">Step 4 — Calculate %PAH</t>
  </si>
  <si>
    <t xml:space="preserve">    %PAH = (182 / 191.4) × 100 = 95.1%</t>
  </si>
  <si>
    <t xml:space="preserve">Step 5 — Interpret</t>
  </si>
  <si>
    <t xml:space="preserve">Reading the result</t>
  </si>
  <si>
    <t xml:space="preserve">Magnus is at 95.1% of his predicted adult height.</t>
  </si>
  <si>
    <t xml:space="preserve">That puts him in the 'on time' band (88–96%), but on the upper edge.</t>
  </si>
  <si>
    <t xml:space="preserve">He is biologically more mature than a teammate at, say, 91% PAH —</t>
  </si>
  <si>
    <t xml:space="preserve">even if they were born the same week.</t>
  </si>
  <si>
    <t xml:space="preserve">Same calculation in one Excel cell</t>
  </si>
  <si>
    <t xml:space="preserve">If you have the values in cells, the whole thing collapses to:</t>
  </si>
  <si>
    <t xml:space="preserve">(current_h) / (b0 + b1*current_h + b2*current_w + b3*MPH_adj) * 100</t>
  </si>
  <si>
    <t xml:space="preserve">See the Try it sheet for a working version with cell references.</t>
  </si>
  <si>
    <t xml:space="preserve">Khamis-Roche regression coefficients</t>
  </si>
  <si>
    <t xml:space="preserve">Use the row that matches the player's sex and chronological age.</t>
  </si>
  <si>
    <t xml:space="preserve">Age range (years)</t>
  </si>
  <si>
    <t xml:space="preserve">Use for</t>
  </si>
  <si>
    <t xml:space="preserve">F</t>
  </si>
  <si>
    <t xml:space="preserve">13.0 - 14.5</t>
  </si>
  <si>
    <t xml:space="preserve">Most U14 girls</t>
  </si>
  <si>
    <t xml:space="preserve">14.5 - 15.5</t>
  </si>
  <si>
    <t xml:space="preserve">Older U14 / younger U15 girls</t>
  </si>
  <si>
    <t xml:space="preserve">Younger U16 boys</t>
  </si>
  <si>
    <t xml:space="preserve">Older U16 boys</t>
  </si>
  <si>
    <t xml:space="preserve">Note: the published Khamis &amp; Roche (1994) tables provide coefficients in 6-month age bands across the whole adolescent range. The four bands above cover the U14 girls and U16 boys squads in this assignment. If you need other ages, consult the original publication.</t>
  </si>
  <si>
    <t xml:space="preserve">Try it yourself</t>
  </si>
  <si>
    <t xml:space="preserve">Replace the sample rows below with your own players. The yellow columns recalculate automatically.</t>
  </si>
  <si>
    <t xml:space="preserve">#</t>
  </si>
  <si>
    <t xml:space="preserve">Name</t>
  </si>
  <si>
    <t xml:space="preserve">Age (yr)</t>
  </si>
  <si>
    <t xml:space="preserve">Height (cm)</t>
  </si>
  <si>
    <t xml:space="preserve">Weight (kg)</t>
  </si>
  <si>
    <t xml:space="preserve">Mom h (cm)</t>
  </si>
  <si>
    <t xml:space="preserve">Dad h (cm)</t>
  </si>
  <si>
    <t xml:space="preserve">MPH_adj</t>
  </si>
  <si>
    <t xml:space="preserve">b1</t>
  </si>
  <si>
    <t xml:space="preserve">b2</t>
  </si>
  <si>
    <t xml:space="preserve">b3</t>
  </si>
  <si>
    <t xml:space="preserve">PAH (cm)</t>
  </si>
  <si>
    <t xml:space="preserve">%PAH</t>
  </si>
  <si>
    <t xml:space="preserve">Maturity</t>
  </si>
  <si>
    <t xml:space="preserve">Alma Sørensen</t>
  </si>
  <si>
    <t xml:space="preserve">Freja Nielsen</t>
  </si>
  <si>
    <t xml:space="preserve">Clara Pedersen</t>
  </si>
  <si>
    <t xml:space="preserve">Magnus Hansen</t>
  </si>
  <si>
    <t xml:space="preserve">Adam Knudsen</t>
  </si>
  <si>
    <t xml:space="preserve">Valdemar Sørensen</t>
  </si>
  <si>
    <t xml:space="preserve">Yellow cells are calculated. Replace any blue input cell to see the values update.</t>
  </si>
  <si>
    <t xml:space="preserve">Legend:</t>
  </si>
  <si>
    <t xml:space="preserve">input</t>
  </si>
  <si>
    <t xml:space="preserve">calculated</t>
  </si>
  <si>
    <t xml:space="preserve">Simple plots in Excel</t>
  </si>
  <si>
    <t xml:space="preserve">Once your %PAH and birth-quarter columns are calculated, build these four plots. Use the small example tables below as a starting point — select the table, then Insert → Chart.</t>
  </si>
  <si>
    <t xml:space="preserve">Plot 1 — Distribution of %PAH (histogram)</t>
  </si>
  <si>
    <t xml:space="preserve">Goal: show how spread out the squad is in biological maturity. Select your %PAH column, then Insert → Insert Statistic Chart → Histogram. Excel will bin the values automatically.</t>
  </si>
  <si>
    <t xml:space="preserve">Tip: set the bin width to 1 or 2% so you can see clusters.</t>
  </si>
  <si>
    <t xml:space="preserve">Example data — %PAH for 20 players</t>
  </si>
  <si>
    <t xml:space="preserve">Player 1</t>
  </si>
  <si>
    <t xml:space="preserve">Player 2</t>
  </si>
  <si>
    <t xml:space="preserve">Player 3</t>
  </si>
  <si>
    <t xml:space="preserve">Player 4</t>
  </si>
  <si>
    <t xml:space="preserve">Player 5</t>
  </si>
  <si>
    <t xml:space="preserve">Player 6</t>
  </si>
  <si>
    <t xml:space="preserve">Player 7</t>
  </si>
  <si>
    <t xml:space="preserve">Player 8</t>
  </si>
  <si>
    <t xml:space="preserve">Player 9</t>
  </si>
  <si>
    <t xml:space="preserve">Player 10</t>
  </si>
  <si>
    <t xml:space="preserve">Player 11</t>
  </si>
  <si>
    <t xml:space="preserve">Player 12</t>
  </si>
  <si>
    <t xml:space="preserve">Player 13</t>
  </si>
  <si>
    <t xml:space="preserve">Player 14</t>
  </si>
  <si>
    <t xml:space="preserve">Player 15</t>
  </si>
  <si>
    <t xml:space="preserve">Player 16</t>
  </si>
  <si>
    <t xml:space="preserve">Player 17</t>
  </si>
  <si>
    <t xml:space="preserve">Player 18</t>
  </si>
  <si>
    <t xml:space="preserve">Player 19</t>
  </si>
  <si>
    <t xml:space="preserve">Player 20</t>
  </si>
  <si>
    <t xml:space="preserve">Plot 2 — Scatter: %PAH vs. birth month</t>
  </si>
  <si>
    <t xml:space="preserve">Goal: see whether biologically more mature players tend to be born earlier in the year (a sign that maturity and relative age move together). Select the two columns, then Insert → Scatter (X Y).</t>
  </si>
  <si>
    <t xml:space="preserve">Birth month</t>
  </si>
  <si>
    <t xml:space="preserve">Plot 3 — Bar: number of players per relative age quartile</t>
  </si>
  <si>
    <t xml:space="preserve">Goal: show whether birthdays are spread evenly across the year. Build a small count table (Q1–Q4 with the n in each), then Insert → Bar/Column chart.</t>
  </si>
  <si>
    <t xml:space="preserve">Quartile</t>
  </si>
  <si>
    <t xml:space="preserve">n players</t>
  </si>
  <si>
    <t xml:space="preserve">Q1</t>
  </si>
  <si>
    <t xml:space="preserve">Q2</t>
  </si>
  <si>
    <t xml:space="preserve">Q3</t>
  </si>
  <si>
    <t xml:space="preserve">Q4</t>
  </si>
  <si>
    <t xml:space="preserve">Plot 4 — Heatmap: relative age × biological maturity</t>
  </si>
  <si>
    <t xml:space="preserve">Goal: show how the squad spreads across both axes at once.</t>
  </si>
  <si>
    <t xml:space="preserve">Step 1. Group your players into birth quartiles (Q1–Q4) AND into %PAH quartiles (split your squad into the four equal groups by %PAH).</t>
  </si>
  <si>
    <t xml:space="preserve">Step 2. Build a 4×4 count table: rows = %PAH quartile, columns = birth quartile. Use COUNTIFS to fill in each cell.</t>
  </si>
  <si>
    <t xml:space="preserve">Step 3. Select the table (numbers only), then Home → Conditional Formatting → Color Scales → Green-Yellow-Red. Excel will colour the cells from low (green) to high (red).</t>
  </si>
  <si>
    <t xml:space="preserve">Example heatmap table (already coloured)</t>
  </si>
  <si>
    <t xml:space="preserve">BA-Q4 (most mature)</t>
  </si>
  <si>
    <t xml:space="preserve">BA-Q3</t>
  </si>
  <si>
    <t xml:space="preserve">BA-Q2</t>
  </si>
  <si>
    <t xml:space="preserve">BA-Q1 (least mature)</t>
  </si>
  <si>
    <t xml:space="preserve">Reading this example: the upper-left corner is dense — early-born players who are also the most biologically mature dominate the squad. That is the signature of a squad with both an RAE and a maturation bias.</t>
  </si>
</sst>
</file>

<file path=xl/styles.xml><?xml version="1.0" encoding="utf-8"?>
<styleSheet xmlns="http://schemas.openxmlformats.org/spreadsheetml/2006/main">
  <numFmts count="4">
    <numFmt numFmtId="164" formatCode="General"/>
    <numFmt numFmtId="165" formatCode="@"/>
    <numFmt numFmtId="166" formatCode="0.0"/>
    <numFmt numFmtId="167" formatCode="0.00"/>
  </numFmts>
  <fonts count="15">
    <font>
      <sz val="11"/>
      <color theme="1"/>
      <name val="Calibri"/>
      <family val="2"/>
      <charset val="1"/>
    </font>
    <font>
      <sz val="10"/>
      <name val="Arial"/>
      <family val="0"/>
    </font>
    <font>
      <sz val="10"/>
      <name val="Arial"/>
      <family val="0"/>
    </font>
    <font>
      <sz val="10"/>
      <name val="Arial"/>
      <family val="0"/>
    </font>
    <font>
      <b val="true"/>
      <sz val="18"/>
      <color rgb="FF1F4E79"/>
      <name val="Arial"/>
      <family val="0"/>
      <charset val="1"/>
    </font>
    <font>
      <i val="true"/>
      <sz val="11"/>
      <color rgb="FF606060"/>
      <name val="Arial"/>
      <family val="0"/>
      <charset val="1"/>
    </font>
    <font>
      <b val="true"/>
      <sz val="13"/>
      <color rgb="FF1F4E79"/>
      <name val="Arial"/>
      <family val="0"/>
      <charset val="1"/>
    </font>
    <font>
      <sz val="11"/>
      <color rgb="FF000000"/>
      <name val="Arial"/>
      <family val="0"/>
      <charset val="1"/>
    </font>
    <font>
      <b val="true"/>
      <sz val="11"/>
      <color rgb="FF1F4E79"/>
      <name val="Arial"/>
      <family val="0"/>
      <charset val="1"/>
    </font>
    <font>
      <b val="true"/>
      <sz val="11"/>
      <color rgb="FF000000"/>
      <name val="Arial"/>
      <family val="0"/>
      <charset val="1"/>
    </font>
    <font>
      <b val="true"/>
      <sz val="11"/>
      <color rgb="FFFFFFFF"/>
      <name val="Arial"/>
      <family val="0"/>
      <charset val="1"/>
    </font>
    <font>
      <sz val="11"/>
      <color rgb="FF000000"/>
      <name val="Consolas"/>
      <family val="0"/>
      <charset val="1"/>
    </font>
    <font>
      <b val="true"/>
      <sz val="18"/>
      <color rgb="FF000000"/>
      <name val="Calibri"/>
      <family val="2"/>
    </font>
    <font>
      <sz val="10"/>
      <color rgb="FF000000"/>
      <name val="Calibri"/>
      <family val="2"/>
    </font>
    <font>
      <b val="true"/>
      <sz val="10"/>
      <color rgb="FF000000"/>
      <name val="Calibri"/>
      <family val="2"/>
    </font>
  </fonts>
  <fills count="12">
    <fill>
      <patternFill patternType="none"/>
    </fill>
    <fill>
      <patternFill patternType="gray125"/>
    </fill>
    <fill>
      <patternFill patternType="solid">
        <fgColor rgb="FFEAF2F8"/>
        <bgColor rgb="FFF2F2F2"/>
      </patternFill>
    </fill>
    <fill>
      <patternFill patternType="solid">
        <fgColor rgb="FFF2F2F2"/>
        <bgColor rgb="FFEAF2F8"/>
      </patternFill>
    </fill>
    <fill>
      <patternFill patternType="solid">
        <fgColor rgb="FF1F4E79"/>
        <bgColor rgb="FF003366"/>
      </patternFill>
    </fill>
    <fill>
      <patternFill patternType="solid">
        <fgColor rgb="FFDDEBF7"/>
        <bgColor rgb="FFEAF2F8"/>
      </patternFill>
    </fill>
    <fill>
      <patternFill patternType="solid">
        <fgColor rgb="FFFFF2CC"/>
        <bgColor rgb="FFF2F2F2"/>
      </patternFill>
    </fill>
    <fill>
      <patternFill patternType="solid">
        <fgColor rgb="FFC2185B"/>
        <bgColor rgb="FF800080"/>
      </patternFill>
    </fill>
    <fill>
      <patternFill patternType="solid">
        <fgColor rgb="FFE08BAD"/>
        <bgColor rgb="FFFF8080"/>
      </patternFill>
    </fill>
    <fill>
      <patternFill patternType="solid">
        <fgColor rgb="FFFFFFFF"/>
        <bgColor rgb="FFF9F9F9"/>
      </patternFill>
    </fill>
    <fill>
      <patternFill patternType="solid">
        <fgColor rgb="FFD15184"/>
        <bgColor rgb="FFFF8080"/>
      </patternFill>
    </fill>
    <fill>
      <patternFill patternType="solid">
        <fgColor rgb="FFEFC5D6"/>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11" fillId="3" borderId="1"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6" fontId="7" fillId="6" borderId="1" xfId="0" applyFont="true" applyBorder="true" applyAlignment="true" applyProtection="false">
      <alignment horizontal="center" vertical="center" textRotation="0" wrapText="false" indent="0" shrinkToFit="false"/>
      <protection locked="true" hidden="false"/>
    </xf>
    <xf numFmtId="167" fontId="7" fillId="6"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64" fontId="10" fillId="10" borderId="1" xfId="0" applyFont="true" applyBorder="true" applyAlignment="true" applyProtection="false">
      <alignment horizontal="center" vertical="center" textRotation="0" wrapText="false" indent="0" shrinkToFit="false"/>
      <protection locked="true" hidden="false"/>
    </xf>
    <xf numFmtId="164" fontId="9" fillId="11"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2185B"/>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2F8"/>
      <rgbColor rgb="FFF2F2F2"/>
      <rgbColor rgb="FFF9F9F9"/>
      <rgbColor rgb="FF99CCFF"/>
      <rgbColor rgb="FFE08BAD"/>
      <rgbColor rgb="FFCC99FF"/>
      <rgbColor rgb="FFEFC5D6"/>
      <rgbColor rgb="FF4F81BD"/>
      <rgbColor rgb="FF33CCCC"/>
      <rgbColor rgb="FF99CC00"/>
      <rgbColor rgb="FFFFCC00"/>
      <rgbColor rgb="FFFF9900"/>
      <rgbColor rgb="FFFF6600"/>
      <rgbColor rgb="FF606060"/>
      <rgbColor rgb="FF969696"/>
      <rgbColor rgb="FF003366"/>
      <rgbColor rgb="FF339966"/>
      <rgbColor rgb="FF003300"/>
      <rgbColor rgb="FF333300"/>
      <rgbColor rgb="FF993300"/>
      <rgbColor rgb="FFD15184"/>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Example — %PAH vs. birth month</a:t>
            </a:r>
          </a:p>
        </c:rich>
      </c:tx>
      <c:overlay val="0"/>
      <c:spPr>
        <a:noFill/>
        <a:ln w="0">
          <a:noFill/>
        </a:ln>
      </c:spPr>
    </c:title>
    <c:autoTitleDeleted val="0"/>
    <c:plotArea>
      <c:scatterChart>
        <c:scatterStyle val="lineMarker"/>
        <c:varyColors val="0"/>
        <c:ser>
          <c:idx val="0"/>
          <c:order val="0"/>
          <c:tx>
            <c:strRef>
              <c:f>"Players"</c:f>
              <c:strCache>
                <c:ptCount val="1"/>
                <c:pt idx="0">
                  <c:v>Players</c:v>
                </c:pt>
              </c:strCache>
            </c:strRef>
          </c:tx>
          <c:spPr>
            <a:solidFill>
              <a:srgbClr val="ffffff"/>
            </a:solidFill>
            <a:ln w="28440">
              <a:noFill/>
            </a:ln>
          </c:spPr>
          <c:marker>
            <c:symbol val="circle"/>
            <c:size val="8"/>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'Plot examples'!$A$34:$A$53</c:f>
              <c:numCache>
                <c:formatCode>General</c:formatCode>
                <c:ptCount val="20"/>
                <c:pt idx="0">
                  <c:v>1</c:v>
                </c:pt>
                <c:pt idx="1">
                  <c:v>1</c:v>
                </c:pt>
                <c:pt idx="2">
                  <c:v>2</c:v>
                </c:pt>
                <c:pt idx="3">
                  <c:v>2</c:v>
                </c:pt>
                <c:pt idx="4">
                  <c:v>3</c:v>
                </c:pt>
                <c:pt idx="5">
                  <c:v>3</c:v>
                </c:pt>
                <c:pt idx="6">
                  <c:v>4</c:v>
                </c:pt>
                <c:pt idx="7">
                  <c:v>4</c:v>
                </c:pt>
                <c:pt idx="8">
                  <c:v>5</c:v>
                </c:pt>
                <c:pt idx="9">
                  <c:v>5</c:v>
                </c:pt>
                <c:pt idx="10">
                  <c:v>6</c:v>
                </c:pt>
                <c:pt idx="11">
                  <c:v>7</c:v>
                </c:pt>
                <c:pt idx="12">
                  <c:v>7</c:v>
                </c:pt>
                <c:pt idx="13">
                  <c:v>8</c:v>
                </c:pt>
                <c:pt idx="14">
                  <c:v>9</c:v>
                </c:pt>
                <c:pt idx="15">
                  <c:v>10</c:v>
                </c:pt>
                <c:pt idx="16">
                  <c:v>10</c:v>
                </c:pt>
                <c:pt idx="17">
                  <c:v>11</c:v>
                </c:pt>
                <c:pt idx="18">
                  <c:v>12</c:v>
                </c:pt>
                <c:pt idx="19">
                  <c:v>12</c:v>
                </c:pt>
              </c:numCache>
            </c:numRef>
          </c:xVal>
          <c:yVal>
            <c:numRef>
              <c:f>'Plot examples'!$B$34:$B$53</c:f>
              <c:numCache>
                <c:formatCode>0.0</c:formatCode>
                <c:ptCount val="20"/>
                <c:pt idx="0">
                  <c:v>88.5</c:v>
                </c:pt>
                <c:pt idx="1">
                  <c:v>89.7</c:v>
                </c:pt>
                <c:pt idx="2">
                  <c:v>90.2</c:v>
                </c:pt>
                <c:pt idx="3">
                  <c:v>90.8</c:v>
                </c:pt>
                <c:pt idx="4">
                  <c:v>91.3</c:v>
                </c:pt>
                <c:pt idx="5">
                  <c:v>91.9</c:v>
                </c:pt>
                <c:pt idx="6">
                  <c:v>92</c:v>
                </c:pt>
                <c:pt idx="7">
                  <c:v>92.4</c:v>
                </c:pt>
                <c:pt idx="8">
                  <c:v>92.6</c:v>
                </c:pt>
                <c:pt idx="9">
                  <c:v>93.1</c:v>
                </c:pt>
                <c:pt idx="10">
                  <c:v>93.5</c:v>
                </c:pt>
                <c:pt idx="11">
                  <c:v>93.8</c:v>
                </c:pt>
                <c:pt idx="12">
                  <c:v>94</c:v>
                </c:pt>
                <c:pt idx="13">
                  <c:v>94.2</c:v>
                </c:pt>
                <c:pt idx="14">
                  <c:v>94.5</c:v>
                </c:pt>
                <c:pt idx="15">
                  <c:v>95.1</c:v>
                </c:pt>
                <c:pt idx="16">
                  <c:v>95.4</c:v>
                </c:pt>
                <c:pt idx="17">
                  <c:v>95.9</c:v>
                </c:pt>
                <c:pt idx="18">
                  <c:v>96.3</c:v>
                </c:pt>
                <c:pt idx="19">
                  <c:v>97.1</c:v>
                </c:pt>
              </c:numCache>
            </c:numRef>
          </c:yVal>
          <c:smooth val="1"/>
        </c:ser>
        <c:axId val="59789328"/>
        <c:axId val="86301627"/>
      </c:scatterChart>
      <c:valAx>
        <c:axId val="59789328"/>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Birth month (1 = Jan, 12 = Dec)</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301627"/>
        <c:crosses val="autoZero"/>
        <c:crossBetween val="midCat"/>
      </c:valAx>
      <c:valAx>
        <c:axId val="8630162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%PAH</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789328"/>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Example — players per birth quartile</a:t>
            </a:r>
          </a:p>
        </c:rich>
      </c:tx>
      <c:overlay val="0"/>
      <c:spPr>
        <a:noFill/>
        <a:ln w="0">
          <a:noFill/>
        </a:ln>
      </c:spPr>
    </c:title>
    <c:autoTitleDeleted val="0"/>
    <c:plotArea>
      <c:barChart>
        <c:barDir val="col"/>
        <c:grouping val="clustered"/>
        <c:varyColors val="0"/>
        <c:ser>
          <c:idx val="0"/>
          <c:order val="0"/>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'Plot examples'!$A$59:$A$62</c:f>
              <c:strCache>
                <c:ptCount val="4"/>
                <c:pt idx="0">
                  <c:v>Q1</c:v>
                </c:pt>
                <c:pt idx="1">
                  <c:v>Q2</c:v>
                </c:pt>
                <c:pt idx="2">
                  <c:v>Q3</c:v>
                </c:pt>
                <c:pt idx="3">
                  <c:v>Q4</c:v>
                </c:pt>
              </c:strCache>
            </c:strRef>
          </c:cat>
          <c:val>
            <c:numRef>
              <c:f>'Plot examples'!$B$59:$B$62</c:f>
              <c:numCache>
                <c:formatCode>General</c:formatCode>
                <c:ptCount val="4"/>
                <c:pt idx="0">
                  <c:v>9</c:v>
                </c:pt>
                <c:pt idx="1">
                  <c:v>6</c:v>
                </c:pt>
                <c:pt idx="2">
                  <c:v>3</c:v>
                </c:pt>
                <c:pt idx="3">
                  <c:v>2</c:v>
                </c:pt>
              </c:numCache>
            </c:numRef>
          </c:val>
        </c:ser>
        <c:gapWidth val="150"/>
        <c:overlap val="0"/>
        <c:axId val="33016040"/>
        <c:axId val="59832252"/>
      </c:barChart>
      <c:catAx>
        <c:axId val="3301604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Birth quartile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832252"/>
        <c:crosses val="autoZero"/>
        <c:auto val="1"/>
        <c:lblAlgn val="ctr"/>
        <c:lblOffset val="100"/>
        <c:noMultiLvlLbl val="0"/>
      </c:catAx>
      <c:valAx>
        <c:axId val="5983225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 players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01604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29</xdr:row>
      <xdr:rowOff>166320</xdr:rowOff>
    </xdr:from>
    <xdr:to>
      <xdr:col>9</xdr:col>
      <xdr:colOff>810720</xdr:colOff>
      <xdr:row>44</xdr:row>
      <xdr:rowOff>23400</xdr:rowOff>
    </xdr:to>
    <xdr:graphicFrame>
      <xdr:nvGraphicFramePr>
        <xdr:cNvPr id="0" name="Chart 1"/>
        <xdr:cNvGraphicFramePr/>
      </xdr:nvGraphicFramePr>
      <xdr:xfrm>
        <a:off x="5497920" y="609588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54</xdr:row>
      <xdr:rowOff>1440</xdr:rowOff>
    </xdr:from>
    <xdr:to>
      <xdr:col>9</xdr:col>
      <xdr:colOff>810720</xdr:colOff>
      <xdr:row>68</xdr:row>
      <xdr:rowOff>34560</xdr:rowOff>
    </xdr:to>
    <xdr:graphicFrame>
      <xdr:nvGraphicFramePr>
        <xdr:cNvPr id="1" name="Chart 2"/>
        <xdr:cNvGraphicFramePr/>
      </xdr:nvGraphicFramePr>
      <xdr:xfrm>
        <a:off x="5497920" y="10858680"/>
        <a:ext cx="503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10" min="2" style="0" width="15"/>
  </cols>
  <sheetData>
    <row r="1" customFormat="false" ht="22.05" hidden="false" customHeight="false" outlineLevel="0" collapsed="false">
      <c r="A1" s="1" t="s">
        <v>0</v>
      </c>
    </row>
    <row r="2" customFormat="false" ht="15" hidden="false" customHeight="true" outlineLevel="0" collapsed="false">
      <c r="A2" s="2" t="s">
        <v>1</v>
      </c>
      <c r="B2" s="2"/>
      <c r="C2" s="2"/>
      <c r="D2" s="2"/>
      <c r="E2" s="2"/>
      <c r="F2" s="2"/>
      <c r="G2" s="2"/>
      <c r="H2" s="2"/>
      <c r="I2" s="2"/>
      <c r="J2" s="2"/>
    </row>
    <row r="4" customFormat="false" ht="16.15" hidden="false" customHeight="false" outlineLevel="0" collapsed="false">
      <c r="A4" s="3" t="s">
        <v>2</v>
      </c>
    </row>
    <row r="5" customFormat="false" ht="15" hidden="false" customHeight="true" outlineLevel="0" collapsed="false">
      <c r="A5" s="4" t="s">
        <v>3</v>
      </c>
      <c r="B5" s="4"/>
      <c r="C5" s="4"/>
      <c r="D5" s="4"/>
      <c r="E5" s="4"/>
      <c r="F5" s="4"/>
      <c r="G5" s="4"/>
      <c r="H5" s="4"/>
      <c r="I5" s="4"/>
      <c r="J5" s="4"/>
    </row>
    <row r="6" customFormat="false" ht="15" hidden="false" customHeight="true" outlineLevel="0" collapsed="false">
      <c r="A6" s="4" t="s">
        <v>4</v>
      </c>
      <c r="B6" s="4"/>
      <c r="C6" s="4"/>
      <c r="D6" s="4"/>
      <c r="E6" s="4"/>
      <c r="F6" s="4"/>
      <c r="G6" s="4"/>
      <c r="H6" s="4"/>
      <c r="I6" s="4"/>
      <c r="J6" s="4"/>
    </row>
    <row r="7" customFormat="false" ht="15" hidden="false" customHeight="true" outlineLevel="0" collapsed="false">
      <c r="A7" s="4" t="s">
        <v>5</v>
      </c>
      <c r="B7" s="4"/>
      <c r="C7" s="4"/>
      <c r="D7" s="4"/>
      <c r="E7" s="4"/>
      <c r="F7" s="4"/>
      <c r="G7" s="4"/>
      <c r="H7" s="4"/>
      <c r="I7" s="4"/>
      <c r="J7" s="4"/>
    </row>
    <row r="8" customFormat="false" ht="15" hidden="false" customHeight="true" outlineLevel="0" collapsed="false">
      <c r="A8" s="4" t="s">
        <v>6</v>
      </c>
      <c r="B8" s="4"/>
      <c r="C8" s="4"/>
      <c r="D8" s="4"/>
      <c r="E8" s="4"/>
      <c r="F8" s="4"/>
      <c r="G8" s="4"/>
      <c r="H8" s="4"/>
      <c r="I8" s="4"/>
      <c r="J8" s="4"/>
    </row>
    <row r="10" customFormat="false" ht="16.15" hidden="false" customHeight="false" outlineLevel="0" collapsed="false">
      <c r="A10" s="3" t="s">
        <v>7</v>
      </c>
    </row>
    <row r="11" customFormat="false" ht="26.85" hidden="false" customHeight="true" outlineLevel="0" collapsed="false">
      <c r="A11" s="4" t="s">
        <v>8</v>
      </c>
      <c r="B11" s="4"/>
      <c r="C11" s="4"/>
      <c r="D11" s="4"/>
      <c r="E11" s="4"/>
      <c r="F11" s="4"/>
      <c r="G11" s="4"/>
      <c r="H11" s="4"/>
      <c r="I11" s="4"/>
      <c r="J11" s="4"/>
    </row>
    <row r="12" customFormat="false" ht="15" hidden="false" customHeight="true" outlineLevel="0" collapsed="false">
      <c r="A12" s="4" t="s">
        <v>9</v>
      </c>
      <c r="B12" s="4"/>
      <c r="C12" s="4"/>
      <c r="D12" s="4"/>
      <c r="E12" s="4"/>
      <c r="F12" s="4"/>
      <c r="G12" s="4"/>
      <c r="H12" s="4"/>
      <c r="I12" s="4"/>
      <c r="J12" s="4"/>
    </row>
    <row r="14" customFormat="false" ht="15" hidden="false" customHeight="false" outlineLevel="0" collapsed="false">
      <c r="A14" s="5" t="s">
        <v>10</v>
      </c>
      <c r="B14" s="5"/>
      <c r="C14" s="5"/>
      <c r="D14" s="5"/>
      <c r="E14" s="5"/>
      <c r="F14" s="5"/>
      <c r="G14" s="5"/>
      <c r="H14" s="5"/>
      <c r="I14" s="5"/>
      <c r="J14" s="5"/>
    </row>
    <row r="15" customFormat="false" ht="15" hidden="false" customHeight="true" outlineLevel="0" collapsed="false">
      <c r="A15" s="6" t="s">
        <v>11</v>
      </c>
      <c r="B15" s="6"/>
      <c r="C15" s="6"/>
      <c r="D15" s="6"/>
      <c r="E15" s="6"/>
      <c r="F15" s="6"/>
      <c r="G15" s="6"/>
      <c r="H15" s="6"/>
      <c r="I15" s="6"/>
      <c r="J15" s="6"/>
    </row>
    <row r="16" customFormat="false" ht="15" hidden="false" customHeight="true" outlineLevel="0" collapsed="false">
      <c r="A16" s="6" t="s">
        <v>12</v>
      </c>
      <c r="B16" s="6"/>
      <c r="C16" s="6"/>
      <c r="D16" s="6"/>
      <c r="E16" s="6"/>
      <c r="F16" s="6"/>
      <c r="G16" s="6"/>
      <c r="H16" s="6"/>
      <c r="I16" s="6"/>
      <c r="J16" s="6"/>
    </row>
    <row r="17" customFormat="false" ht="15" hidden="false" customHeight="true" outlineLevel="0" collapsed="false">
      <c r="A17" s="6" t="s">
        <v>13</v>
      </c>
      <c r="B17" s="6"/>
      <c r="C17" s="6"/>
      <c r="D17" s="6"/>
      <c r="E17" s="6"/>
      <c r="F17" s="6"/>
      <c r="G17" s="6"/>
      <c r="H17" s="6"/>
      <c r="I17" s="6"/>
      <c r="J17" s="6"/>
    </row>
    <row r="18" customFormat="false" ht="15" hidden="false" customHeight="true" outlineLevel="0" collapsed="false">
      <c r="A18" s="6" t="s">
        <v>14</v>
      </c>
      <c r="B18" s="6"/>
      <c r="C18" s="6"/>
      <c r="D18" s="6"/>
      <c r="E18" s="6"/>
      <c r="F18" s="6"/>
      <c r="G18" s="6"/>
      <c r="H18" s="6"/>
      <c r="I18" s="6"/>
      <c r="J18" s="6"/>
    </row>
    <row r="20" customFormat="false" ht="16.15" hidden="false" customHeight="false" outlineLevel="0" collapsed="false">
      <c r="A20" s="3" t="s">
        <v>15</v>
      </c>
    </row>
    <row r="21" customFormat="false" ht="15" hidden="false" customHeight="false" outlineLevel="0" collapsed="false">
      <c r="A21" s="7" t="s">
        <v>16</v>
      </c>
      <c r="B21" s="7"/>
      <c r="C21" s="7"/>
      <c r="D21" s="7"/>
      <c r="E21" s="7"/>
      <c r="F21" s="7"/>
      <c r="G21" s="7"/>
      <c r="H21" s="7"/>
      <c r="I21" s="7"/>
      <c r="J21" s="7"/>
    </row>
    <row r="22" customFormat="false" ht="15" hidden="false" customHeight="true" outlineLevel="0" collapsed="false">
      <c r="A22" s="8" t="s">
        <v>17</v>
      </c>
      <c r="B22" s="8"/>
      <c r="C22" s="8"/>
      <c r="D22" s="8"/>
      <c r="E22" s="8"/>
      <c r="F22" s="8"/>
      <c r="G22" s="8"/>
      <c r="H22" s="8"/>
      <c r="I22" s="8"/>
      <c r="J22" s="8"/>
    </row>
    <row r="23" customFormat="false" ht="15" hidden="false" customHeight="true" outlineLevel="0" collapsed="false">
      <c r="A23" s="8" t="s">
        <v>18</v>
      </c>
      <c r="B23" s="8"/>
      <c r="C23" s="8"/>
      <c r="D23" s="8"/>
      <c r="E23" s="8"/>
      <c r="F23" s="8"/>
      <c r="G23" s="8"/>
      <c r="H23" s="8"/>
      <c r="I23" s="8"/>
      <c r="J23" s="8"/>
    </row>
    <row r="24" customFormat="false" ht="15" hidden="false" customHeight="true" outlineLevel="0" collapsed="false">
      <c r="A24" s="8" t="s">
        <v>19</v>
      </c>
      <c r="B24" s="8"/>
      <c r="C24" s="8"/>
      <c r="D24" s="8"/>
      <c r="E24" s="8"/>
      <c r="F24" s="8"/>
      <c r="G24" s="8"/>
      <c r="H24" s="8"/>
      <c r="I24" s="8"/>
      <c r="J24" s="8"/>
    </row>
    <row r="25" customFormat="false" ht="15" hidden="false" customHeight="false" outlineLevel="0" collapsed="false">
      <c r="A25" s="8"/>
      <c r="B25" s="8"/>
      <c r="C25" s="8"/>
      <c r="D25" s="8"/>
      <c r="E25" s="8"/>
      <c r="F25" s="8"/>
      <c r="G25" s="8"/>
      <c r="H25" s="8"/>
      <c r="I25" s="8"/>
      <c r="J25" s="8"/>
    </row>
    <row r="26" customFormat="false" ht="15" hidden="false" customHeight="true" outlineLevel="0" collapsed="false">
      <c r="A26" s="8" t="s">
        <v>20</v>
      </c>
      <c r="B26" s="8"/>
      <c r="C26" s="8"/>
      <c r="D26" s="8"/>
      <c r="E26" s="8"/>
      <c r="F26" s="8"/>
      <c r="G26" s="8"/>
      <c r="H26" s="8"/>
      <c r="I26" s="8"/>
      <c r="J26" s="8"/>
    </row>
    <row r="27" customFormat="false" ht="15" hidden="false" customHeight="true" outlineLevel="0" collapsed="false">
      <c r="A27" s="8" t="s">
        <v>21</v>
      </c>
      <c r="B27" s="8"/>
      <c r="C27" s="8"/>
      <c r="D27" s="8"/>
      <c r="E27" s="8"/>
      <c r="F27" s="8"/>
      <c r="G27" s="8"/>
      <c r="H27" s="8"/>
      <c r="I27" s="8"/>
      <c r="J27" s="8"/>
    </row>
    <row r="28" customFormat="false" ht="15" hidden="false" customHeight="true" outlineLevel="0" collapsed="false">
      <c r="A28" s="8" t="s">
        <v>22</v>
      </c>
      <c r="B28" s="8"/>
      <c r="C28" s="8"/>
      <c r="D28" s="8"/>
      <c r="E28" s="8"/>
      <c r="F28" s="8"/>
      <c r="G28" s="8"/>
      <c r="H28" s="8"/>
      <c r="I28" s="8"/>
      <c r="J28" s="8"/>
    </row>
    <row r="29" customFormat="false" ht="15" hidden="false" customHeight="true" outlineLevel="0" collapsed="false">
      <c r="A29" s="8" t="s">
        <v>23</v>
      </c>
      <c r="B29" s="8"/>
      <c r="C29" s="8"/>
      <c r="D29" s="8"/>
      <c r="E29" s="8"/>
      <c r="F29" s="8"/>
      <c r="G29" s="8"/>
      <c r="H29" s="8"/>
      <c r="I29" s="8"/>
      <c r="J29" s="8"/>
    </row>
    <row r="30" customFormat="false" ht="15" hidden="false" customHeight="false" outlineLevel="0" collapsed="false">
      <c r="A30" s="8"/>
      <c r="B30" s="8"/>
      <c r="C30" s="8"/>
      <c r="D30" s="8"/>
      <c r="E30" s="8"/>
      <c r="F30" s="8"/>
      <c r="G30" s="8"/>
      <c r="H30" s="8"/>
      <c r="I30" s="8"/>
      <c r="J30" s="8"/>
    </row>
    <row r="31" customFormat="false" ht="15" hidden="false" customHeight="true" outlineLevel="0" collapsed="false">
      <c r="A31" s="8" t="s">
        <v>24</v>
      </c>
      <c r="B31" s="8"/>
      <c r="C31" s="8"/>
      <c r="D31" s="8"/>
      <c r="E31" s="8"/>
      <c r="F31" s="8"/>
      <c r="G31" s="8"/>
      <c r="H31" s="8"/>
      <c r="I31" s="8"/>
      <c r="J31" s="8"/>
    </row>
    <row r="32" customFormat="false" ht="15" hidden="false" customHeight="true" outlineLevel="0" collapsed="false">
      <c r="A32" s="8" t="s">
        <v>25</v>
      </c>
      <c r="B32" s="8"/>
      <c r="C32" s="8"/>
      <c r="D32" s="8"/>
      <c r="E32" s="8"/>
      <c r="F32" s="8"/>
      <c r="G32" s="8"/>
      <c r="H32" s="8"/>
      <c r="I32" s="8"/>
      <c r="J32" s="8"/>
    </row>
    <row r="34" customFormat="false" ht="16.15" hidden="false" customHeight="false" outlineLevel="0" collapsed="false">
      <c r="A34" s="3" t="s">
        <v>26</v>
      </c>
    </row>
    <row r="35" customFormat="false" ht="26.85" hidden="false" customHeight="true" outlineLevel="0" collapsed="false">
      <c r="A35" s="2" t="s">
        <v>27</v>
      </c>
      <c r="B35" s="2"/>
      <c r="C35" s="2"/>
      <c r="D35" s="2"/>
      <c r="E35" s="2"/>
      <c r="F35" s="2"/>
      <c r="G35" s="2"/>
      <c r="H35" s="2"/>
      <c r="I35" s="2"/>
      <c r="J35" s="2"/>
    </row>
  </sheetData>
  <mergeCells count="25">
    <mergeCell ref="A2:J2"/>
    <mergeCell ref="A5:J5"/>
    <mergeCell ref="A6:J6"/>
    <mergeCell ref="A7:J7"/>
    <mergeCell ref="A8:J8"/>
    <mergeCell ref="A11:J11"/>
    <mergeCell ref="A12:J12"/>
    <mergeCell ref="A14:J14"/>
    <mergeCell ref="A15:J15"/>
    <mergeCell ref="A16:J16"/>
    <mergeCell ref="A17:J17"/>
    <mergeCell ref="A18:J18"/>
    <mergeCell ref="A21:J21"/>
    <mergeCell ref="A22:J22"/>
    <mergeCell ref="A23:J23"/>
    <mergeCell ref="A24:J24"/>
    <mergeCell ref="A25:J25"/>
    <mergeCell ref="A26:J26"/>
    <mergeCell ref="A27:J27"/>
    <mergeCell ref="A28:J28"/>
    <mergeCell ref="A29:J29"/>
    <mergeCell ref="A30:J30"/>
    <mergeCell ref="A31:J31"/>
    <mergeCell ref="A32:J32"/>
    <mergeCell ref="A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10" min="2" style="0" width="15"/>
  </cols>
  <sheetData>
    <row r="1" customFormat="false" ht="22.05" hidden="false" customHeight="false" outlineLevel="0" collapsed="false">
      <c r="A1" s="1" t="s">
        <v>28</v>
      </c>
    </row>
    <row r="2" customFormat="false" ht="15" hidden="false" customHeight="true" outlineLevel="0" collapsed="false">
      <c r="A2" s="2" t="s">
        <v>29</v>
      </c>
      <c r="B2" s="2"/>
      <c r="C2" s="2"/>
      <c r="D2" s="2"/>
      <c r="E2" s="2"/>
      <c r="F2" s="2"/>
      <c r="G2" s="2"/>
      <c r="H2" s="2"/>
      <c r="I2" s="2"/>
      <c r="J2" s="2"/>
    </row>
    <row r="4" customFormat="false" ht="16.15" hidden="false" customHeight="false" outlineLevel="0" collapsed="false">
      <c r="A4" s="3" t="s">
        <v>30</v>
      </c>
    </row>
    <row r="5" customFormat="false" ht="15" hidden="false" customHeight="false" outlineLevel="0" collapsed="false">
      <c r="A5" s="5" t="s">
        <v>31</v>
      </c>
      <c r="B5" s="5"/>
      <c r="C5" s="5"/>
      <c r="D5" s="5"/>
      <c r="E5" s="5"/>
      <c r="F5" s="5"/>
      <c r="G5" s="5"/>
      <c r="H5" s="5"/>
      <c r="I5" s="5"/>
      <c r="J5" s="5"/>
    </row>
    <row r="6" customFormat="false" ht="15" hidden="false" customHeight="true" outlineLevel="0" collapsed="false">
      <c r="A6" s="6" t="s">
        <v>32</v>
      </c>
      <c r="B6" s="6"/>
      <c r="C6" s="6"/>
      <c r="D6" s="6"/>
      <c r="E6" s="6"/>
      <c r="F6" s="6"/>
      <c r="G6" s="6"/>
      <c r="H6" s="6"/>
      <c r="I6" s="6"/>
      <c r="J6" s="6"/>
    </row>
    <row r="7" customFormat="false" ht="15" hidden="false" customHeight="true" outlineLevel="0" collapsed="false">
      <c r="A7" s="6" t="s">
        <v>33</v>
      </c>
      <c r="B7" s="6"/>
      <c r="C7" s="6"/>
      <c r="D7" s="6"/>
      <c r="E7" s="6"/>
      <c r="F7" s="6"/>
      <c r="G7" s="6"/>
      <c r="H7" s="6"/>
      <c r="I7" s="6"/>
      <c r="J7" s="6"/>
    </row>
    <row r="8" customFormat="false" ht="15" hidden="false" customHeight="true" outlineLevel="0" collapsed="false">
      <c r="A8" s="6" t="s">
        <v>34</v>
      </c>
      <c r="B8" s="6"/>
      <c r="C8" s="6"/>
      <c r="D8" s="6"/>
      <c r="E8" s="6"/>
      <c r="F8" s="6"/>
      <c r="G8" s="6"/>
      <c r="H8" s="6"/>
      <c r="I8" s="6"/>
      <c r="J8" s="6"/>
    </row>
    <row r="9" customFormat="false" ht="15" hidden="false" customHeight="true" outlineLevel="0" collapsed="false">
      <c r="A9" s="6" t="s">
        <v>35</v>
      </c>
      <c r="B9" s="6"/>
      <c r="C9" s="6"/>
      <c r="D9" s="6"/>
      <c r="E9" s="6"/>
      <c r="F9" s="6"/>
      <c r="G9" s="6"/>
      <c r="H9" s="6"/>
      <c r="I9" s="6"/>
      <c r="J9" s="6"/>
    </row>
    <row r="10" customFormat="false" ht="15" hidden="false" customHeight="true" outlineLevel="0" collapsed="false">
      <c r="A10" s="6" t="s">
        <v>36</v>
      </c>
      <c r="B10" s="6"/>
      <c r="C10" s="6"/>
      <c r="D10" s="6"/>
      <c r="E10" s="6"/>
      <c r="F10" s="6"/>
      <c r="G10" s="6"/>
      <c r="H10" s="6"/>
      <c r="I10" s="6"/>
      <c r="J10" s="6"/>
    </row>
    <row r="11" customFormat="false" ht="15" hidden="false" customHeight="true" outlineLevel="0" collapsed="false">
      <c r="A11" s="6" t="s">
        <v>37</v>
      </c>
      <c r="B11" s="6"/>
      <c r="C11" s="6"/>
      <c r="D11" s="6"/>
      <c r="E11" s="6"/>
      <c r="F11" s="6"/>
      <c r="G11" s="6"/>
      <c r="H11" s="6"/>
      <c r="I11" s="6"/>
      <c r="J11" s="6"/>
    </row>
    <row r="12" customFormat="false" ht="15" hidden="false" customHeight="true" outlineLevel="0" collapsed="false">
      <c r="A12" s="6" t="s">
        <v>38</v>
      </c>
      <c r="B12" s="6"/>
      <c r="C12" s="6"/>
      <c r="D12" s="6"/>
      <c r="E12" s="6"/>
      <c r="F12" s="6"/>
      <c r="G12" s="6"/>
      <c r="H12" s="6"/>
      <c r="I12" s="6"/>
      <c r="J12" s="6"/>
    </row>
    <row r="14" customFormat="false" ht="16.15" hidden="false" customHeight="false" outlineLevel="0" collapsed="false">
      <c r="A14" s="3" t="s">
        <v>39</v>
      </c>
    </row>
    <row r="15" customFormat="false" ht="15" hidden="false" customHeight="true" outlineLevel="0" collapsed="false">
      <c r="A15" s="4" t="s">
        <v>40</v>
      </c>
      <c r="B15" s="4"/>
      <c r="C15" s="4"/>
      <c r="D15" s="4"/>
      <c r="E15" s="4"/>
      <c r="F15" s="4"/>
      <c r="G15" s="4"/>
      <c r="H15" s="4"/>
      <c r="I15" s="4"/>
      <c r="J15" s="4"/>
    </row>
    <row r="16" customFormat="false" ht="15" hidden="false" customHeight="true" outlineLevel="0" collapsed="false">
      <c r="A16" s="4" t="s">
        <v>41</v>
      </c>
      <c r="B16" s="4"/>
      <c r="C16" s="4"/>
      <c r="D16" s="4"/>
      <c r="E16" s="4"/>
      <c r="F16" s="4"/>
      <c r="G16" s="4"/>
      <c r="H16" s="4"/>
      <c r="I16" s="4"/>
      <c r="J16" s="4"/>
    </row>
    <row r="17" customFormat="false" ht="15" hidden="false" customHeight="true" outlineLevel="0" collapsed="false">
      <c r="A17" s="9" t="s">
        <v>42</v>
      </c>
      <c r="B17" s="9"/>
      <c r="C17" s="9"/>
      <c r="D17" s="9"/>
      <c r="E17" s="9"/>
      <c r="F17" s="9"/>
      <c r="G17" s="9"/>
      <c r="H17" s="9"/>
      <c r="I17" s="9"/>
      <c r="J17" s="9"/>
    </row>
    <row r="19" customFormat="false" ht="16.15" hidden="false" customHeight="false" outlineLevel="0" collapsed="false">
      <c r="A19" s="3" t="s">
        <v>43</v>
      </c>
    </row>
    <row r="20" customFormat="false" ht="15" hidden="false" customHeight="true" outlineLevel="0" collapsed="false">
      <c r="A20" s="4" t="s">
        <v>44</v>
      </c>
      <c r="B20" s="4"/>
      <c r="C20" s="4"/>
      <c r="D20" s="4"/>
      <c r="E20" s="4"/>
      <c r="F20" s="4"/>
      <c r="G20" s="4"/>
      <c r="H20" s="4"/>
      <c r="I20" s="4"/>
      <c r="J20" s="4"/>
    </row>
    <row r="21" customFormat="false" ht="15" hidden="false" customHeight="false" outlineLevel="0" collapsed="false">
      <c r="A21" s="10" t="s">
        <v>45</v>
      </c>
      <c r="B21" s="10" t="s">
        <v>46</v>
      </c>
      <c r="C21" s="10" t="s">
        <v>47</v>
      </c>
      <c r="D21" s="10" t="s">
        <v>48</v>
      </c>
      <c r="E21" s="10" t="s">
        <v>49</v>
      </c>
      <c r="F21" s="10" t="s">
        <v>50</v>
      </c>
    </row>
    <row r="22" customFormat="false" ht="15" hidden="false" customHeight="false" outlineLevel="0" collapsed="false">
      <c r="A22" s="11" t="s">
        <v>51</v>
      </c>
      <c r="B22" s="11" t="s">
        <v>52</v>
      </c>
      <c r="C22" s="11" t="n">
        <v>20</v>
      </c>
      <c r="D22" s="11" t="n">
        <v>0.5</v>
      </c>
      <c r="E22" s="11" t="n">
        <v>0.1</v>
      </c>
      <c r="F22" s="11" t="n">
        <v>0.4</v>
      </c>
    </row>
    <row r="24" customFormat="false" ht="16.15" hidden="false" customHeight="false" outlineLevel="0" collapsed="false">
      <c r="A24" s="3" t="s">
        <v>53</v>
      </c>
    </row>
    <row r="25" customFormat="false" ht="15" hidden="false" customHeight="true" outlineLevel="0" collapsed="false">
      <c r="A25" s="4" t="s">
        <v>54</v>
      </c>
      <c r="B25" s="4"/>
      <c r="C25" s="4"/>
      <c r="D25" s="4"/>
      <c r="E25" s="4"/>
      <c r="F25" s="4"/>
      <c r="G25" s="4"/>
      <c r="H25" s="4"/>
      <c r="I25" s="4"/>
      <c r="J25" s="4"/>
    </row>
    <row r="26" customFormat="false" ht="15" hidden="false" customHeight="true" outlineLevel="0" collapsed="false">
      <c r="A26" s="4" t="s">
        <v>55</v>
      </c>
      <c r="B26" s="4"/>
      <c r="C26" s="4"/>
      <c r="D26" s="4"/>
      <c r="E26" s="4"/>
      <c r="F26" s="4"/>
      <c r="G26" s="4"/>
      <c r="H26" s="4"/>
      <c r="I26" s="4"/>
      <c r="J26" s="4"/>
    </row>
    <row r="27" customFormat="false" ht="15" hidden="false" customHeight="true" outlineLevel="0" collapsed="false">
      <c r="A27" s="4" t="s">
        <v>56</v>
      </c>
      <c r="B27" s="4"/>
      <c r="C27" s="4"/>
      <c r="D27" s="4"/>
      <c r="E27" s="4"/>
      <c r="F27" s="4"/>
      <c r="G27" s="4"/>
      <c r="H27" s="4"/>
      <c r="I27" s="4"/>
      <c r="J27" s="4"/>
    </row>
    <row r="28" customFormat="false" ht="15" hidden="false" customHeight="true" outlineLevel="0" collapsed="false">
      <c r="A28" s="9" t="s">
        <v>57</v>
      </c>
      <c r="B28" s="9"/>
      <c r="C28" s="9"/>
      <c r="D28" s="9"/>
      <c r="E28" s="9"/>
      <c r="F28" s="9"/>
      <c r="G28" s="9"/>
      <c r="H28" s="9"/>
      <c r="I28" s="9"/>
      <c r="J28" s="9"/>
    </row>
    <row r="30" customFormat="false" ht="16.15" hidden="false" customHeight="false" outlineLevel="0" collapsed="false">
      <c r="A30" s="3" t="s">
        <v>58</v>
      </c>
    </row>
    <row r="31" customFormat="false" ht="15" hidden="false" customHeight="true" outlineLevel="0" collapsed="false">
      <c r="A31" s="9" t="s">
        <v>59</v>
      </c>
      <c r="B31" s="9"/>
      <c r="C31" s="9"/>
      <c r="D31" s="9"/>
      <c r="E31" s="9"/>
      <c r="F31" s="9"/>
      <c r="G31" s="9"/>
      <c r="H31" s="9"/>
      <c r="I31" s="9"/>
      <c r="J31" s="9"/>
    </row>
    <row r="33" customFormat="false" ht="16.15" hidden="false" customHeight="false" outlineLevel="0" collapsed="false">
      <c r="A33" s="3" t="s">
        <v>60</v>
      </c>
    </row>
    <row r="34" customFormat="false" ht="15" hidden="false" customHeight="false" outlineLevel="0" collapsed="false">
      <c r="A34" s="5" t="s">
        <v>61</v>
      </c>
      <c r="B34" s="5"/>
      <c r="C34" s="5"/>
      <c r="D34" s="5"/>
      <c r="E34" s="5"/>
      <c r="F34" s="5"/>
      <c r="G34" s="5"/>
      <c r="H34" s="5"/>
      <c r="I34" s="5"/>
      <c r="J34" s="5"/>
    </row>
    <row r="35" customFormat="false" ht="15" hidden="false" customHeight="true" outlineLevel="0" collapsed="false">
      <c r="A35" s="6" t="s">
        <v>62</v>
      </c>
      <c r="B35" s="6"/>
      <c r="C35" s="6"/>
      <c r="D35" s="6"/>
      <c r="E35" s="6"/>
      <c r="F35" s="6"/>
      <c r="G35" s="6"/>
      <c r="H35" s="6"/>
      <c r="I35" s="6"/>
      <c r="J35" s="6"/>
    </row>
    <row r="36" customFormat="false" ht="15" hidden="false" customHeight="true" outlineLevel="0" collapsed="false">
      <c r="A36" s="6" t="s">
        <v>63</v>
      </c>
      <c r="B36" s="6"/>
      <c r="C36" s="6"/>
      <c r="D36" s="6"/>
      <c r="E36" s="6"/>
      <c r="F36" s="6"/>
      <c r="G36" s="6"/>
      <c r="H36" s="6"/>
      <c r="I36" s="6"/>
      <c r="J36" s="6"/>
    </row>
    <row r="37" customFormat="false" ht="15" hidden="false" customHeight="true" outlineLevel="0" collapsed="false">
      <c r="A37" s="6" t="s">
        <v>64</v>
      </c>
      <c r="B37" s="6"/>
      <c r="C37" s="6"/>
      <c r="D37" s="6"/>
      <c r="E37" s="6"/>
      <c r="F37" s="6"/>
      <c r="G37" s="6"/>
      <c r="H37" s="6"/>
      <c r="I37" s="6"/>
      <c r="J37" s="6"/>
    </row>
    <row r="38" customFormat="false" ht="15" hidden="false" customHeight="true" outlineLevel="0" collapsed="false">
      <c r="A38" s="6" t="s">
        <v>65</v>
      </c>
      <c r="B38" s="6"/>
      <c r="C38" s="6"/>
      <c r="D38" s="6"/>
      <c r="E38" s="6"/>
      <c r="F38" s="6"/>
      <c r="G38" s="6"/>
      <c r="H38" s="6"/>
      <c r="I38" s="6"/>
      <c r="J38" s="6"/>
    </row>
    <row r="40" customFormat="false" ht="16.15" hidden="false" customHeight="false" outlineLevel="0" collapsed="false">
      <c r="A40" s="3" t="s">
        <v>66</v>
      </c>
    </row>
    <row r="41" customFormat="false" ht="15" hidden="false" customHeight="true" outlineLevel="0" collapsed="false">
      <c r="A41" s="4" t="s">
        <v>67</v>
      </c>
      <c r="B41" s="4"/>
      <c r="C41" s="4"/>
      <c r="D41" s="4"/>
      <c r="E41" s="4"/>
      <c r="F41" s="4"/>
      <c r="G41" s="4"/>
      <c r="H41" s="4"/>
      <c r="I41" s="4"/>
      <c r="J41" s="4"/>
    </row>
    <row r="42" customFormat="false" ht="15" hidden="false" customHeight="false" outlineLevel="0" collapsed="false">
      <c r="A42" s="12" t="s">
        <v>68</v>
      </c>
      <c r="B42" s="12"/>
      <c r="C42" s="12"/>
      <c r="D42" s="12"/>
      <c r="E42" s="12"/>
      <c r="F42" s="12"/>
      <c r="G42" s="12"/>
      <c r="H42" s="12"/>
      <c r="I42" s="12"/>
      <c r="J42" s="12"/>
    </row>
    <row r="43" customFormat="false" ht="15" hidden="false" customHeight="true" outlineLevel="0" collapsed="false">
      <c r="A43" s="2" t="s">
        <v>69</v>
      </c>
      <c r="B43" s="2"/>
      <c r="C43" s="2"/>
      <c r="D43" s="2"/>
      <c r="E43" s="2"/>
      <c r="F43" s="2"/>
      <c r="G43" s="2"/>
      <c r="H43" s="2"/>
      <c r="I43" s="2"/>
      <c r="J43" s="2"/>
    </row>
  </sheetData>
  <mergeCells count="26">
    <mergeCell ref="A2:J2"/>
    <mergeCell ref="A5:J5"/>
    <mergeCell ref="A6:J6"/>
    <mergeCell ref="A7:J7"/>
    <mergeCell ref="A8:J8"/>
    <mergeCell ref="A9:J9"/>
    <mergeCell ref="A10:J10"/>
    <mergeCell ref="A11:J11"/>
    <mergeCell ref="A12:J12"/>
    <mergeCell ref="A15:J15"/>
    <mergeCell ref="A16:J16"/>
    <mergeCell ref="A17:J17"/>
    <mergeCell ref="A20:J20"/>
    <mergeCell ref="A25:J25"/>
    <mergeCell ref="A26:J26"/>
    <mergeCell ref="A27:J27"/>
    <mergeCell ref="A28:J28"/>
    <mergeCell ref="A31:J31"/>
    <mergeCell ref="A34:J34"/>
    <mergeCell ref="A35:J35"/>
    <mergeCell ref="A36:J36"/>
    <mergeCell ref="A37:J37"/>
    <mergeCell ref="A38:J38"/>
    <mergeCell ref="A41:J41"/>
    <mergeCell ref="A42:J42"/>
    <mergeCell ref="A43:J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12"/>
    <col collapsed="false" customWidth="true" hidden="false" outlineLevel="0" max="5" min="4" style="0" width="15"/>
    <col collapsed="false" customWidth="true" hidden="false" outlineLevel="0" max="6" min="6" style="0" width="18"/>
    <col collapsed="false" customWidth="true" hidden="false" outlineLevel="0" max="7" min="7" style="0" width="30"/>
  </cols>
  <sheetData>
    <row r="1" customFormat="false" ht="22.05" hidden="false" customHeight="false" outlineLevel="0" collapsed="false">
      <c r="A1" s="1" t="s">
        <v>70</v>
      </c>
    </row>
    <row r="2" customFormat="false" ht="15" hidden="false" customHeight="true" outlineLevel="0" collapsed="false">
      <c r="A2" s="2" t="s">
        <v>71</v>
      </c>
      <c r="B2" s="2"/>
      <c r="C2" s="2"/>
      <c r="D2" s="2"/>
      <c r="E2" s="2"/>
      <c r="F2" s="2"/>
      <c r="G2" s="2"/>
      <c r="H2" s="2"/>
      <c r="I2" s="2"/>
      <c r="J2" s="2"/>
    </row>
    <row r="4" customFormat="false" ht="15" hidden="false" customHeight="false" outlineLevel="0" collapsed="false">
      <c r="A4" s="10" t="s">
        <v>45</v>
      </c>
      <c r="B4" s="10" t="s">
        <v>72</v>
      </c>
      <c r="C4" s="10" t="s">
        <v>47</v>
      </c>
      <c r="D4" s="10" t="s">
        <v>48</v>
      </c>
      <c r="E4" s="10" t="s">
        <v>49</v>
      </c>
      <c r="F4" s="10" t="s">
        <v>50</v>
      </c>
      <c r="G4" s="10" t="s">
        <v>73</v>
      </c>
    </row>
    <row r="5" customFormat="false" ht="15" hidden="false" customHeight="false" outlineLevel="0" collapsed="false">
      <c r="A5" s="11" t="s">
        <v>74</v>
      </c>
      <c r="B5" s="11" t="s">
        <v>75</v>
      </c>
      <c r="C5" s="11" t="n">
        <v>30</v>
      </c>
      <c r="D5" s="11" t="n">
        <v>0.55</v>
      </c>
      <c r="E5" s="11" t="n">
        <v>0.1</v>
      </c>
      <c r="F5" s="11" t="n">
        <v>0.3</v>
      </c>
      <c r="G5" s="11" t="s">
        <v>76</v>
      </c>
    </row>
    <row r="6" customFormat="false" ht="15" hidden="false" customHeight="false" outlineLevel="0" collapsed="false">
      <c r="A6" s="11" t="s">
        <v>74</v>
      </c>
      <c r="B6" s="11" t="s">
        <v>77</v>
      </c>
      <c r="C6" s="11" t="n">
        <v>22</v>
      </c>
      <c r="D6" s="11" t="n">
        <v>0.65</v>
      </c>
      <c r="E6" s="11" t="n">
        <v>0.08</v>
      </c>
      <c r="F6" s="11" t="n">
        <v>0.25</v>
      </c>
      <c r="G6" s="11" t="s">
        <v>78</v>
      </c>
    </row>
    <row r="7" customFormat="false" ht="15" hidden="false" customHeight="false" outlineLevel="0" collapsed="false">
      <c r="A7" s="11" t="s">
        <v>51</v>
      </c>
      <c r="B7" s="11" t="s">
        <v>77</v>
      </c>
      <c r="C7" s="11" t="n">
        <v>25</v>
      </c>
      <c r="D7" s="11" t="n">
        <v>0.45</v>
      </c>
      <c r="E7" s="11" t="n">
        <v>0.12</v>
      </c>
      <c r="F7" s="11" t="n">
        <v>0.42</v>
      </c>
      <c r="G7" s="11" t="s">
        <v>79</v>
      </c>
    </row>
    <row r="8" customFormat="false" ht="15" hidden="false" customHeight="false" outlineLevel="0" collapsed="false">
      <c r="A8" s="11" t="s">
        <v>51</v>
      </c>
      <c r="B8" s="11" t="s">
        <v>52</v>
      </c>
      <c r="C8" s="11" t="n">
        <v>20</v>
      </c>
      <c r="D8" s="11" t="n">
        <v>0.5</v>
      </c>
      <c r="E8" s="11" t="n">
        <v>0.1</v>
      </c>
      <c r="F8" s="11" t="n">
        <v>0.4</v>
      </c>
      <c r="G8" s="11" t="s">
        <v>80</v>
      </c>
    </row>
    <row r="10" customFormat="false" ht="26.85" hidden="false" customHeight="true" outlineLevel="0" collapsed="false">
      <c r="A10" s="2" t="s">
        <v>81</v>
      </c>
      <c r="B10" s="2"/>
      <c r="C10" s="2"/>
      <c r="D10" s="2"/>
      <c r="E10" s="2"/>
      <c r="F10" s="2"/>
      <c r="G10" s="2"/>
      <c r="H10" s="2"/>
      <c r="I10" s="2"/>
      <c r="J10" s="2"/>
    </row>
  </sheetData>
  <mergeCells count="2">
    <mergeCell ref="A2:J2"/>
    <mergeCell ref="A10:J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4" min="3" style="0" width="8"/>
    <col collapsed="false" customWidth="true" hidden="false" outlineLevel="0" max="6" min="5" style="0" width="12"/>
    <col collapsed="false" customWidth="true" hidden="false" outlineLevel="0" max="9" min="7" style="0" width="15"/>
    <col collapsed="false" customWidth="true" hidden="false" outlineLevel="0" max="17" min="10" style="0" width="12"/>
  </cols>
  <sheetData>
    <row r="1" customFormat="false" ht="22.05" hidden="false" customHeight="false" outlineLevel="0" collapsed="false">
      <c r="B1" s="1" t="s">
        <v>82</v>
      </c>
    </row>
    <row r="2" customFormat="false" ht="15" hidden="false" customHeight="false" outlineLevel="0" collapsed="false">
      <c r="B2" s="13" t="s">
        <v>83</v>
      </c>
      <c r="C2" s="13"/>
      <c r="D2" s="13"/>
      <c r="E2" s="13"/>
      <c r="F2" s="13"/>
      <c r="G2" s="13"/>
      <c r="H2" s="13"/>
      <c r="I2" s="13"/>
      <c r="J2" s="13"/>
      <c r="K2" s="13"/>
      <c r="L2" s="13"/>
      <c r="M2" s="13"/>
    </row>
    <row r="4" customFormat="false" ht="15" hidden="false" customHeight="false" outlineLevel="0" collapsed="false">
      <c r="B4" s="10" t="s">
        <v>84</v>
      </c>
      <c r="C4" s="10" t="s">
        <v>85</v>
      </c>
      <c r="D4" s="10" t="s">
        <v>45</v>
      </c>
      <c r="E4" s="10" t="s">
        <v>86</v>
      </c>
      <c r="F4" s="10" t="s">
        <v>87</v>
      </c>
      <c r="G4" s="10" t="s">
        <v>88</v>
      </c>
      <c r="H4" s="10" t="s">
        <v>89</v>
      </c>
      <c r="I4" s="10" t="s">
        <v>90</v>
      </c>
      <c r="J4" s="10" t="s">
        <v>91</v>
      </c>
      <c r="K4" s="10" t="s">
        <v>47</v>
      </c>
      <c r="L4" s="10" t="s">
        <v>92</v>
      </c>
      <c r="M4" s="10" t="s">
        <v>93</v>
      </c>
      <c r="N4" s="10" t="s">
        <v>94</v>
      </c>
      <c r="O4" s="10" t="s">
        <v>95</v>
      </c>
      <c r="P4" s="10" t="s">
        <v>96</v>
      </c>
      <c r="Q4" s="10" t="s">
        <v>97</v>
      </c>
    </row>
    <row r="5" customFormat="false" ht="15" hidden="false" customHeight="false" outlineLevel="0" collapsed="false">
      <c r="B5" s="14" t="n">
        <v>1</v>
      </c>
      <c r="C5" s="15" t="s">
        <v>98</v>
      </c>
      <c r="D5" s="14" t="s">
        <v>74</v>
      </c>
      <c r="E5" s="14" t="n">
        <v>13.6</v>
      </c>
      <c r="F5" s="14" t="n">
        <v>158</v>
      </c>
      <c r="G5" s="14" t="n">
        <v>47</v>
      </c>
      <c r="H5" s="14" t="n">
        <v>165</v>
      </c>
      <c r="I5" s="14" t="n">
        <v>178</v>
      </c>
      <c r="J5" s="16" t="n">
        <f aca="false">IF(D5="M",(H5+I5)/2+6.5,(H5+I5)/2-6.5)</f>
        <v>165</v>
      </c>
      <c r="K5" s="17" t="n">
        <f aca="false">IF(D5="F",IF(E5&lt;14.5,'KR Coefficients'!C5,'KR Coefficients'!C6),IF(E5&lt;15.5,'KR Coefficients'!C7,'KR Coefficients'!C8))</f>
        <v>30</v>
      </c>
      <c r="L5" s="17" t="n">
        <f aca="false">IF(D5="F",IF(E5&lt;14.5,'KR Coefficients'!D5,'KR Coefficients'!D6),IF(E5&lt;15.5,'KR Coefficients'!D7,'KR Coefficients'!D8))</f>
        <v>0.55</v>
      </c>
      <c r="M5" s="17" t="n">
        <f aca="false">IF(D5="F",IF(E5&lt;14.5,'KR Coefficients'!E5,'KR Coefficients'!E6),IF(E5&lt;15.5,'KR Coefficients'!E7,'KR Coefficients'!E8))</f>
        <v>0.1</v>
      </c>
      <c r="N5" s="17" t="n">
        <f aca="false">IF(D5="F",IF(E5&lt;14.5,'KR Coefficients'!F5,'KR Coefficients'!F6),IF(E5&lt;15.5,'KR Coefficients'!F7,'KR Coefficients'!F8))</f>
        <v>0.3</v>
      </c>
      <c r="O5" s="16" t="n">
        <f aca="false">K5+L5*F5+M5*G5+N5*J5</f>
        <v>171.1</v>
      </c>
      <c r="P5" s="16" t="n">
        <f aca="false">F5/O5*100</f>
        <v>92.343658679135</v>
      </c>
      <c r="Q5" s="18" t="str">
        <f aca="false">IF(P5&lt;88,"late",IF(P5&gt;96,"early","on time"))</f>
        <v>on time</v>
      </c>
    </row>
    <row r="6" customFormat="false" ht="15" hidden="false" customHeight="false" outlineLevel="0" collapsed="false">
      <c r="B6" s="14" t="n">
        <v>2</v>
      </c>
      <c r="C6" s="15" t="s">
        <v>99</v>
      </c>
      <c r="D6" s="14" t="s">
        <v>74</v>
      </c>
      <c r="E6" s="14" t="n">
        <v>14.1</v>
      </c>
      <c r="F6" s="14" t="n">
        <v>168</v>
      </c>
      <c r="G6" s="14" t="n">
        <v>56</v>
      </c>
      <c r="H6" s="14" t="n">
        <v>172</v>
      </c>
      <c r="I6" s="14" t="n">
        <v>188</v>
      </c>
      <c r="J6" s="16" t="n">
        <f aca="false">IF(D6="M",(H6+I6)/2+6.5,(H6+I6)/2-6.5)</f>
        <v>173.5</v>
      </c>
      <c r="K6" s="17" t="n">
        <f aca="false">IF(D6="F",IF(E6&lt;14.5,'KR Coefficients'!C5,'KR Coefficients'!C6),IF(E6&lt;15.5,'KR Coefficients'!C7,'KR Coefficients'!C8))</f>
        <v>30</v>
      </c>
      <c r="L6" s="17" t="n">
        <f aca="false">IF(D6="F",IF(E6&lt;14.5,'KR Coefficients'!D5,'KR Coefficients'!D6),IF(E6&lt;15.5,'KR Coefficients'!D7,'KR Coefficients'!D8))</f>
        <v>0.55</v>
      </c>
      <c r="M6" s="17" t="n">
        <f aca="false">IF(D6="F",IF(E6&lt;14.5,'KR Coefficients'!E5,'KR Coefficients'!E6),IF(E6&lt;15.5,'KR Coefficients'!E7,'KR Coefficients'!E8))</f>
        <v>0.1</v>
      </c>
      <c r="N6" s="17" t="n">
        <f aca="false">IF(D6="F",IF(E6&lt;14.5,'KR Coefficients'!F5,'KR Coefficients'!F6),IF(E6&lt;15.5,'KR Coefficients'!F7,'KR Coefficients'!F8))</f>
        <v>0.3</v>
      </c>
      <c r="O6" s="16" t="n">
        <f aca="false">K6+L6*F6+M6*G6+N6*J6</f>
        <v>180.05</v>
      </c>
      <c r="P6" s="16" t="n">
        <f aca="false">F6/O6*100</f>
        <v>93.3074146070536</v>
      </c>
      <c r="Q6" s="18" t="str">
        <f aca="false">IF(P6&lt;88,"late",IF(P6&gt;96,"early","on time"))</f>
        <v>on time</v>
      </c>
    </row>
    <row r="7" customFormat="false" ht="15" hidden="false" customHeight="false" outlineLevel="0" collapsed="false">
      <c r="B7" s="14" t="n">
        <v>3</v>
      </c>
      <c r="C7" s="15" t="s">
        <v>100</v>
      </c>
      <c r="D7" s="14" t="s">
        <v>74</v>
      </c>
      <c r="E7" s="14" t="n">
        <v>13.4</v>
      </c>
      <c r="F7" s="14" t="n">
        <v>152</v>
      </c>
      <c r="G7" s="14" t="n">
        <v>42</v>
      </c>
      <c r="H7" s="14" t="n">
        <v>162</v>
      </c>
      <c r="I7" s="14" t="n">
        <v>175</v>
      </c>
      <c r="J7" s="16" t="n">
        <f aca="false">IF(D7="M",(H7+I7)/2+6.5,(H7+I7)/2-6.5)</f>
        <v>162</v>
      </c>
      <c r="K7" s="17" t="n">
        <f aca="false">IF(D7="F",IF(E7&lt;14.5,'KR Coefficients'!C5,'KR Coefficients'!C6),IF(E7&lt;15.5,'KR Coefficients'!C7,'KR Coefficients'!C8))</f>
        <v>30</v>
      </c>
      <c r="L7" s="17" t="n">
        <f aca="false">IF(D7="F",IF(E7&lt;14.5,'KR Coefficients'!D5,'KR Coefficients'!D6),IF(E7&lt;15.5,'KR Coefficients'!D7,'KR Coefficients'!D8))</f>
        <v>0.55</v>
      </c>
      <c r="M7" s="17" t="n">
        <f aca="false">IF(D7="F",IF(E7&lt;14.5,'KR Coefficients'!E5,'KR Coefficients'!E6),IF(E7&lt;15.5,'KR Coefficients'!E7,'KR Coefficients'!E8))</f>
        <v>0.1</v>
      </c>
      <c r="N7" s="17" t="n">
        <f aca="false">IF(D7="F",IF(E7&lt;14.5,'KR Coefficients'!F5,'KR Coefficients'!F6),IF(E7&lt;15.5,'KR Coefficients'!F7,'KR Coefficients'!F8))</f>
        <v>0.3</v>
      </c>
      <c r="O7" s="16" t="n">
        <f aca="false">K7+L7*F7+M7*G7+N7*J7</f>
        <v>166.4</v>
      </c>
      <c r="P7" s="16" t="n">
        <f aca="false">F7/O7*100</f>
        <v>91.3461538461538</v>
      </c>
      <c r="Q7" s="18" t="str">
        <f aca="false">IF(P7&lt;88,"late",IF(P7&gt;96,"early","on time"))</f>
        <v>on time</v>
      </c>
    </row>
    <row r="8" customFormat="false" ht="15" hidden="false" customHeight="false" outlineLevel="0" collapsed="false">
      <c r="B8" s="14" t="n">
        <v>4</v>
      </c>
      <c r="C8" s="15" t="s">
        <v>101</v>
      </c>
      <c r="D8" s="14" t="s">
        <v>51</v>
      </c>
      <c r="E8" s="14" t="n">
        <v>15.8</v>
      </c>
      <c r="F8" s="14" t="n">
        <v>182</v>
      </c>
      <c r="G8" s="14" t="n">
        <v>72</v>
      </c>
      <c r="H8" s="14" t="n">
        <v>168</v>
      </c>
      <c r="I8" s="14" t="n">
        <v>185</v>
      </c>
      <c r="J8" s="16" t="n">
        <f aca="false">IF(D8="M",(H8+I8)/2+6.5,(H8+I8)/2-6.5)</f>
        <v>183</v>
      </c>
      <c r="K8" s="17" t="n">
        <f aca="false">IF(D8="F",IF(E8&lt;14.5,'KR Coefficients'!C5,'KR Coefficients'!C6),IF(E8&lt;15.5,'KR Coefficients'!C7,'KR Coefficients'!C8))</f>
        <v>20</v>
      </c>
      <c r="L8" s="17" t="n">
        <f aca="false">IF(D8="F",IF(E8&lt;14.5,'KR Coefficients'!D5,'KR Coefficients'!D6),IF(E8&lt;15.5,'KR Coefficients'!D7,'KR Coefficients'!D8))</f>
        <v>0.5</v>
      </c>
      <c r="M8" s="17" t="n">
        <f aca="false">IF(D8="F",IF(E8&lt;14.5,'KR Coefficients'!E5,'KR Coefficients'!E6),IF(E8&lt;15.5,'KR Coefficients'!E7,'KR Coefficients'!E8))</f>
        <v>0.1</v>
      </c>
      <c r="N8" s="17" t="n">
        <f aca="false">IF(D8="F",IF(E8&lt;14.5,'KR Coefficients'!F5,'KR Coefficients'!F6),IF(E8&lt;15.5,'KR Coefficients'!F7,'KR Coefficients'!F8))</f>
        <v>0.4</v>
      </c>
      <c r="O8" s="16" t="n">
        <f aca="false">K8+L8*F8+M8*G8+N8*J8</f>
        <v>191.4</v>
      </c>
      <c r="P8" s="16" t="n">
        <f aca="false">F8/O8*100</f>
        <v>95.0888192267503</v>
      </c>
      <c r="Q8" s="18" t="str">
        <f aca="false">IF(P8&lt;88,"late",IF(P8&gt;96,"early","on time"))</f>
        <v>on time</v>
      </c>
    </row>
    <row r="9" customFormat="false" ht="15" hidden="false" customHeight="false" outlineLevel="0" collapsed="false">
      <c r="B9" s="14" t="n">
        <v>5</v>
      </c>
      <c r="C9" s="15" t="s">
        <v>102</v>
      </c>
      <c r="D9" s="14" t="s">
        <v>51</v>
      </c>
      <c r="E9" s="14" t="n">
        <v>15.6</v>
      </c>
      <c r="F9" s="14" t="n">
        <v>161</v>
      </c>
      <c r="G9" s="14" t="n">
        <v>55</v>
      </c>
      <c r="H9" s="14" t="n">
        <v>163</v>
      </c>
      <c r="I9" s="14" t="n">
        <v>174</v>
      </c>
      <c r="J9" s="16" t="n">
        <f aca="false">IF(D9="M",(H9+I9)/2+6.5,(H9+I9)/2-6.5)</f>
        <v>175</v>
      </c>
      <c r="K9" s="17" t="n">
        <f aca="false">IF(D9="F",IF(E9&lt;14.5,'KR Coefficients'!C5,'KR Coefficients'!C6),IF(E9&lt;15.5,'KR Coefficients'!C7,'KR Coefficients'!C8))</f>
        <v>20</v>
      </c>
      <c r="L9" s="17" t="n">
        <f aca="false">IF(D9="F",IF(E9&lt;14.5,'KR Coefficients'!D5,'KR Coefficients'!D6),IF(E9&lt;15.5,'KR Coefficients'!D7,'KR Coefficients'!D8))</f>
        <v>0.5</v>
      </c>
      <c r="M9" s="17" t="n">
        <f aca="false">IF(D9="F",IF(E9&lt;14.5,'KR Coefficients'!E5,'KR Coefficients'!E6),IF(E9&lt;15.5,'KR Coefficients'!E7,'KR Coefficients'!E8))</f>
        <v>0.1</v>
      </c>
      <c r="N9" s="17" t="n">
        <f aca="false">IF(D9="F",IF(E9&lt;14.5,'KR Coefficients'!F5,'KR Coefficients'!F6),IF(E9&lt;15.5,'KR Coefficients'!F7,'KR Coefficients'!F8))</f>
        <v>0.4</v>
      </c>
      <c r="O9" s="16" t="n">
        <f aca="false">K9+L9*F9+M9*G9+N9*J9</f>
        <v>176</v>
      </c>
      <c r="P9" s="16" t="n">
        <f aca="false">F9/O9*100</f>
        <v>91.4772727272727</v>
      </c>
      <c r="Q9" s="18" t="str">
        <f aca="false">IF(P9&lt;88,"late",IF(P9&gt;96,"early","on time"))</f>
        <v>on time</v>
      </c>
    </row>
    <row r="10" customFormat="false" ht="15" hidden="false" customHeight="false" outlineLevel="0" collapsed="false">
      <c r="B10" s="14" t="n">
        <v>6</v>
      </c>
      <c r="C10" s="15" t="s">
        <v>103</v>
      </c>
      <c r="D10" s="14" t="s">
        <v>51</v>
      </c>
      <c r="E10" s="14" t="n">
        <v>15.5</v>
      </c>
      <c r="F10" s="14" t="n">
        <v>188</v>
      </c>
      <c r="G10" s="14" t="n">
        <v>78</v>
      </c>
      <c r="H10" s="14" t="n">
        <v>170</v>
      </c>
      <c r="I10" s="14" t="n">
        <v>192</v>
      </c>
      <c r="J10" s="16" t="n">
        <f aca="false">IF(D10="M",(H10+I10)/2+6.5,(H10+I10)/2-6.5)</f>
        <v>187.5</v>
      </c>
      <c r="K10" s="17" t="n">
        <f aca="false">IF(D10="F",IF(E10&lt;14.5,'KR Coefficients'!C5,'KR Coefficients'!C6),IF(E10&lt;15.5,'KR Coefficients'!C7,'KR Coefficients'!C8))</f>
        <v>20</v>
      </c>
      <c r="L10" s="17" t="n">
        <f aca="false">IF(D10="F",IF(E10&lt;14.5,'KR Coefficients'!D5,'KR Coefficients'!D6),IF(E10&lt;15.5,'KR Coefficients'!D7,'KR Coefficients'!D8))</f>
        <v>0.5</v>
      </c>
      <c r="M10" s="17" t="n">
        <f aca="false">IF(D10="F",IF(E10&lt;14.5,'KR Coefficients'!E5,'KR Coefficients'!E6),IF(E10&lt;15.5,'KR Coefficients'!E7,'KR Coefficients'!E8))</f>
        <v>0.1</v>
      </c>
      <c r="N10" s="17" t="n">
        <f aca="false">IF(D10="F",IF(E10&lt;14.5,'KR Coefficients'!F5,'KR Coefficients'!F6),IF(E10&lt;15.5,'KR Coefficients'!F7,'KR Coefficients'!F8))</f>
        <v>0.4</v>
      </c>
      <c r="O10" s="16" t="n">
        <f aca="false">K10+L10*F10+M10*G10+N10*J10</f>
        <v>196.8</v>
      </c>
      <c r="P10" s="16" t="n">
        <f aca="false">F10/O10*100</f>
        <v>95.5284552845528</v>
      </c>
      <c r="Q10" s="18" t="str">
        <f aca="false">IF(P10&lt;88,"late",IF(P10&gt;96,"early","on time"))</f>
        <v>on time</v>
      </c>
    </row>
    <row r="12" customFormat="false" ht="15" hidden="false" customHeight="false" outlineLevel="0" collapsed="false">
      <c r="B12" s="13" t="s">
        <v>104</v>
      </c>
      <c r="C12" s="13"/>
      <c r="D12" s="13"/>
      <c r="E12" s="13"/>
      <c r="F12" s="13"/>
      <c r="G12" s="13"/>
      <c r="H12" s="13"/>
      <c r="I12" s="13"/>
      <c r="J12" s="13"/>
      <c r="K12" s="13"/>
      <c r="L12" s="13"/>
      <c r="M12" s="13"/>
    </row>
    <row r="14" customFormat="false" ht="15" hidden="false" customHeight="false" outlineLevel="0" collapsed="false">
      <c r="B14" s="19" t="s">
        <v>105</v>
      </c>
      <c r="C14" s="14" t="s">
        <v>106</v>
      </c>
      <c r="D14" s="18" t="s">
        <v>107</v>
      </c>
    </row>
  </sheetData>
  <mergeCells count="2">
    <mergeCell ref="B2:M2"/>
    <mergeCell ref="B12:M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10" min="2" style="0" width="12"/>
  </cols>
  <sheetData>
    <row r="1" customFormat="false" ht="22.05" hidden="false" customHeight="false" outlineLevel="0" collapsed="false">
      <c r="A1" s="1" t="s">
        <v>108</v>
      </c>
    </row>
    <row r="2" customFormat="false" ht="26.85" hidden="false" customHeight="true" outlineLevel="0" collapsed="false">
      <c r="A2" s="2" t="s">
        <v>109</v>
      </c>
      <c r="B2" s="2"/>
      <c r="C2" s="2"/>
      <c r="D2" s="2"/>
      <c r="E2" s="2"/>
      <c r="F2" s="2"/>
      <c r="G2" s="2"/>
      <c r="H2" s="2"/>
      <c r="I2" s="2"/>
      <c r="J2" s="2"/>
    </row>
    <row r="4" customFormat="false" ht="16.15" hidden="false" customHeight="false" outlineLevel="0" collapsed="false">
      <c r="A4" s="3" t="s">
        <v>110</v>
      </c>
    </row>
    <row r="5" customFormat="false" ht="26.85" hidden="false" customHeight="true" outlineLevel="0" collapsed="false">
      <c r="A5" s="4" t="s">
        <v>111</v>
      </c>
      <c r="B5" s="4"/>
      <c r="C5" s="4"/>
      <c r="D5" s="4"/>
      <c r="E5" s="4"/>
      <c r="F5" s="4"/>
      <c r="G5" s="4"/>
      <c r="H5" s="4"/>
      <c r="I5" s="4"/>
      <c r="J5" s="4"/>
    </row>
    <row r="6" customFormat="false" ht="15" hidden="false" customHeight="true" outlineLevel="0" collapsed="false">
      <c r="A6" s="2" t="s">
        <v>112</v>
      </c>
      <c r="B6" s="2"/>
      <c r="C6" s="2"/>
      <c r="D6" s="2"/>
      <c r="E6" s="2"/>
      <c r="F6" s="2"/>
      <c r="G6" s="2"/>
      <c r="H6" s="2"/>
      <c r="I6" s="2"/>
      <c r="J6" s="2"/>
    </row>
    <row r="8" customFormat="false" ht="15" hidden="false" customHeight="false" outlineLevel="0" collapsed="false">
      <c r="A8" s="10" t="s">
        <v>113</v>
      </c>
      <c r="B8" s="10"/>
      <c r="C8" s="10"/>
      <c r="D8" s="10"/>
    </row>
    <row r="9" customFormat="false" ht="15" hidden="false" customHeight="false" outlineLevel="0" collapsed="false">
      <c r="A9" s="11" t="s">
        <v>114</v>
      </c>
      <c r="B9" s="20" t="n">
        <v>88.5</v>
      </c>
    </row>
    <row r="10" customFormat="false" ht="15" hidden="false" customHeight="false" outlineLevel="0" collapsed="false">
      <c r="A10" s="11" t="s">
        <v>115</v>
      </c>
      <c r="B10" s="20" t="n">
        <v>89.7</v>
      </c>
    </row>
    <row r="11" customFormat="false" ht="15" hidden="false" customHeight="false" outlineLevel="0" collapsed="false">
      <c r="A11" s="11" t="s">
        <v>116</v>
      </c>
      <c r="B11" s="20" t="n">
        <v>90.2</v>
      </c>
    </row>
    <row r="12" customFormat="false" ht="15" hidden="false" customHeight="false" outlineLevel="0" collapsed="false">
      <c r="A12" s="11" t="s">
        <v>117</v>
      </c>
      <c r="B12" s="20" t="n">
        <v>90.8</v>
      </c>
    </row>
    <row r="13" customFormat="false" ht="15" hidden="false" customHeight="false" outlineLevel="0" collapsed="false">
      <c r="A13" s="11" t="s">
        <v>118</v>
      </c>
      <c r="B13" s="20" t="n">
        <v>91.3</v>
      </c>
    </row>
    <row r="14" customFormat="false" ht="15" hidden="false" customHeight="false" outlineLevel="0" collapsed="false">
      <c r="A14" s="11" t="s">
        <v>119</v>
      </c>
      <c r="B14" s="20" t="n">
        <v>91.9</v>
      </c>
    </row>
    <row r="15" customFormat="false" ht="15" hidden="false" customHeight="false" outlineLevel="0" collapsed="false">
      <c r="A15" s="11" t="s">
        <v>120</v>
      </c>
      <c r="B15" s="20" t="n">
        <v>92</v>
      </c>
    </row>
    <row r="16" customFormat="false" ht="15" hidden="false" customHeight="false" outlineLevel="0" collapsed="false">
      <c r="A16" s="11" t="s">
        <v>121</v>
      </c>
      <c r="B16" s="20" t="n">
        <v>92.4</v>
      </c>
    </row>
    <row r="17" customFormat="false" ht="15" hidden="false" customHeight="false" outlineLevel="0" collapsed="false">
      <c r="A17" s="11" t="s">
        <v>122</v>
      </c>
      <c r="B17" s="20" t="n">
        <v>92.6</v>
      </c>
    </row>
    <row r="18" customFormat="false" ht="15" hidden="false" customHeight="false" outlineLevel="0" collapsed="false">
      <c r="A18" s="11" t="s">
        <v>123</v>
      </c>
      <c r="B18" s="20" t="n">
        <v>93.1</v>
      </c>
    </row>
    <row r="19" customFormat="false" ht="15" hidden="false" customHeight="false" outlineLevel="0" collapsed="false">
      <c r="A19" s="11" t="s">
        <v>124</v>
      </c>
      <c r="B19" s="20" t="n">
        <v>93.5</v>
      </c>
    </row>
    <row r="20" customFormat="false" ht="15" hidden="false" customHeight="false" outlineLevel="0" collapsed="false">
      <c r="A20" s="11" t="s">
        <v>125</v>
      </c>
      <c r="B20" s="20" t="n">
        <v>93.8</v>
      </c>
    </row>
    <row r="21" customFormat="false" ht="15" hidden="false" customHeight="false" outlineLevel="0" collapsed="false">
      <c r="A21" s="11" t="s">
        <v>126</v>
      </c>
      <c r="B21" s="20" t="n">
        <v>94</v>
      </c>
    </row>
    <row r="22" customFormat="false" ht="15" hidden="false" customHeight="false" outlineLevel="0" collapsed="false">
      <c r="A22" s="11" t="s">
        <v>127</v>
      </c>
      <c r="B22" s="20" t="n">
        <v>94.2</v>
      </c>
    </row>
    <row r="23" customFormat="false" ht="15" hidden="false" customHeight="false" outlineLevel="0" collapsed="false">
      <c r="A23" s="11" t="s">
        <v>128</v>
      </c>
      <c r="B23" s="20" t="n">
        <v>94.5</v>
      </c>
    </row>
    <row r="24" customFormat="false" ht="15" hidden="false" customHeight="false" outlineLevel="0" collapsed="false">
      <c r="A24" s="11" t="s">
        <v>129</v>
      </c>
      <c r="B24" s="20" t="n">
        <v>95.1</v>
      </c>
    </row>
    <row r="25" customFormat="false" ht="15" hidden="false" customHeight="false" outlineLevel="0" collapsed="false">
      <c r="A25" s="11" t="s">
        <v>130</v>
      </c>
      <c r="B25" s="20" t="n">
        <v>95.4</v>
      </c>
    </row>
    <row r="26" customFormat="false" ht="15" hidden="false" customHeight="false" outlineLevel="0" collapsed="false">
      <c r="A26" s="11" t="s">
        <v>131</v>
      </c>
      <c r="B26" s="20" t="n">
        <v>95.9</v>
      </c>
    </row>
    <row r="27" customFormat="false" ht="15" hidden="false" customHeight="false" outlineLevel="0" collapsed="false">
      <c r="A27" s="11" t="s">
        <v>132</v>
      </c>
      <c r="B27" s="20" t="n">
        <v>96.3</v>
      </c>
    </row>
    <row r="28" customFormat="false" ht="15" hidden="false" customHeight="false" outlineLevel="0" collapsed="false">
      <c r="A28" s="11" t="s">
        <v>133</v>
      </c>
      <c r="B28" s="20" t="n">
        <v>97.1</v>
      </c>
    </row>
    <row r="30" customFormat="false" ht="16.15" hidden="false" customHeight="false" outlineLevel="0" collapsed="false">
      <c r="A30" s="3" t="s">
        <v>134</v>
      </c>
    </row>
    <row r="31" customFormat="false" ht="26.85" hidden="false" customHeight="true" outlineLevel="0" collapsed="false">
      <c r="A31" s="4" t="s">
        <v>135</v>
      </c>
      <c r="B31" s="4"/>
      <c r="C31" s="4"/>
      <c r="D31" s="4"/>
      <c r="E31" s="4"/>
      <c r="F31" s="4"/>
      <c r="G31" s="4"/>
      <c r="H31" s="4"/>
      <c r="I31" s="4"/>
      <c r="J31" s="4"/>
    </row>
    <row r="33" customFormat="false" ht="15" hidden="false" customHeight="false" outlineLevel="0" collapsed="false">
      <c r="A33" s="10" t="s">
        <v>136</v>
      </c>
      <c r="B33" s="10" t="s">
        <v>96</v>
      </c>
    </row>
    <row r="34" customFormat="false" ht="15" hidden="false" customHeight="false" outlineLevel="0" collapsed="false">
      <c r="A34" s="11" t="n">
        <v>1</v>
      </c>
      <c r="B34" s="20" t="n">
        <v>88.5</v>
      </c>
    </row>
    <row r="35" customFormat="false" ht="15" hidden="false" customHeight="false" outlineLevel="0" collapsed="false">
      <c r="A35" s="11" t="n">
        <v>1</v>
      </c>
      <c r="B35" s="20" t="n">
        <v>89.7</v>
      </c>
    </row>
    <row r="36" customFormat="false" ht="15" hidden="false" customHeight="false" outlineLevel="0" collapsed="false">
      <c r="A36" s="11" t="n">
        <v>2</v>
      </c>
      <c r="B36" s="20" t="n">
        <v>90.2</v>
      </c>
    </row>
    <row r="37" customFormat="false" ht="15" hidden="false" customHeight="false" outlineLevel="0" collapsed="false">
      <c r="A37" s="11" t="n">
        <v>2</v>
      </c>
      <c r="B37" s="20" t="n">
        <v>90.8</v>
      </c>
    </row>
    <row r="38" customFormat="false" ht="15" hidden="false" customHeight="false" outlineLevel="0" collapsed="false">
      <c r="A38" s="11" t="n">
        <v>3</v>
      </c>
      <c r="B38" s="20" t="n">
        <v>91.3</v>
      </c>
    </row>
    <row r="39" customFormat="false" ht="15" hidden="false" customHeight="false" outlineLevel="0" collapsed="false">
      <c r="A39" s="11" t="n">
        <v>3</v>
      </c>
      <c r="B39" s="20" t="n">
        <v>91.9</v>
      </c>
    </row>
    <row r="40" customFormat="false" ht="15" hidden="false" customHeight="false" outlineLevel="0" collapsed="false">
      <c r="A40" s="11" t="n">
        <v>4</v>
      </c>
      <c r="B40" s="20" t="n">
        <v>92</v>
      </c>
    </row>
    <row r="41" customFormat="false" ht="15" hidden="false" customHeight="false" outlineLevel="0" collapsed="false">
      <c r="A41" s="11" t="n">
        <v>4</v>
      </c>
      <c r="B41" s="20" t="n">
        <v>92.4</v>
      </c>
    </row>
    <row r="42" customFormat="false" ht="15" hidden="false" customHeight="false" outlineLevel="0" collapsed="false">
      <c r="A42" s="11" t="n">
        <v>5</v>
      </c>
      <c r="B42" s="20" t="n">
        <v>92.6</v>
      </c>
    </row>
    <row r="43" customFormat="false" ht="15" hidden="false" customHeight="false" outlineLevel="0" collapsed="false">
      <c r="A43" s="11" t="n">
        <v>5</v>
      </c>
      <c r="B43" s="20" t="n">
        <v>93.1</v>
      </c>
    </row>
    <row r="44" customFormat="false" ht="15" hidden="false" customHeight="false" outlineLevel="0" collapsed="false">
      <c r="A44" s="11" t="n">
        <v>6</v>
      </c>
      <c r="B44" s="20" t="n">
        <v>93.5</v>
      </c>
    </row>
    <row r="45" customFormat="false" ht="15" hidden="false" customHeight="false" outlineLevel="0" collapsed="false">
      <c r="A45" s="11" t="n">
        <v>7</v>
      </c>
      <c r="B45" s="20" t="n">
        <v>93.8</v>
      </c>
    </row>
    <row r="46" customFormat="false" ht="15" hidden="false" customHeight="false" outlineLevel="0" collapsed="false">
      <c r="A46" s="11" t="n">
        <v>7</v>
      </c>
      <c r="B46" s="20" t="n">
        <v>94</v>
      </c>
    </row>
    <row r="47" customFormat="false" ht="15" hidden="false" customHeight="false" outlineLevel="0" collapsed="false">
      <c r="A47" s="11" t="n">
        <v>8</v>
      </c>
      <c r="B47" s="20" t="n">
        <v>94.2</v>
      </c>
    </row>
    <row r="48" customFormat="false" ht="15" hidden="false" customHeight="false" outlineLevel="0" collapsed="false">
      <c r="A48" s="11" t="n">
        <v>9</v>
      </c>
      <c r="B48" s="20" t="n">
        <v>94.5</v>
      </c>
    </row>
    <row r="49" customFormat="false" ht="15" hidden="false" customHeight="false" outlineLevel="0" collapsed="false">
      <c r="A49" s="11" t="n">
        <v>10</v>
      </c>
      <c r="B49" s="20" t="n">
        <v>95.1</v>
      </c>
    </row>
    <row r="50" customFormat="false" ht="15" hidden="false" customHeight="false" outlineLevel="0" collapsed="false">
      <c r="A50" s="11" t="n">
        <v>10</v>
      </c>
      <c r="B50" s="20" t="n">
        <v>95.4</v>
      </c>
    </row>
    <row r="51" customFormat="false" ht="15" hidden="false" customHeight="false" outlineLevel="0" collapsed="false">
      <c r="A51" s="11" t="n">
        <v>11</v>
      </c>
      <c r="B51" s="20" t="n">
        <v>95.9</v>
      </c>
    </row>
    <row r="52" customFormat="false" ht="15" hidden="false" customHeight="false" outlineLevel="0" collapsed="false">
      <c r="A52" s="11" t="n">
        <v>12</v>
      </c>
      <c r="B52" s="20" t="n">
        <v>96.3</v>
      </c>
    </row>
    <row r="53" customFormat="false" ht="15" hidden="false" customHeight="false" outlineLevel="0" collapsed="false">
      <c r="A53" s="11" t="n">
        <v>12</v>
      </c>
      <c r="B53" s="20" t="n">
        <v>97.1</v>
      </c>
    </row>
    <row r="55" customFormat="false" ht="16.15" hidden="false" customHeight="false" outlineLevel="0" collapsed="false">
      <c r="A55" s="3" t="s">
        <v>137</v>
      </c>
    </row>
    <row r="56" customFormat="false" ht="15" hidden="false" customHeight="true" outlineLevel="0" collapsed="false">
      <c r="A56" s="4" t="s">
        <v>138</v>
      </c>
      <c r="B56" s="4"/>
      <c r="C56" s="4"/>
      <c r="D56" s="4"/>
      <c r="E56" s="4"/>
      <c r="F56" s="4"/>
      <c r="G56" s="4"/>
      <c r="H56" s="4"/>
      <c r="I56" s="4"/>
      <c r="J56" s="4"/>
    </row>
    <row r="58" customFormat="false" ht="15" hidden="false" customHeight="false" outlineLevel="0" collapsed="false">
      <c r="A58" s="10" t="s">
        <v>139</v>
      </c>
      <c r="B58" s="10" t="s">
        <v>140</v>
      </c>
    </row>
    <row r="59" customFormat="false" ht="15" hidden="false" customHeight="false" outlineLevel="0" collapsed="false">
      <c r="A59" s="11" t="s">
        <v>141</v>
      </c>
      <c r="B59" s="11" t="n">
        <v>9</v>
      </c>
    </row>
    <row r="60" customFormat="false" ht="15" hidden="false" customHeight="false" outlineLevel="0" collapsed="false">
      <c r="A60" s="11" t="s">
        <v>142</v>
      </c>
      <c r="B60" s="11" t="n">
        <v>6</v>
      </c>
    </row>
    <row r="61" customFormat="false" ht="15" hidden="false" customHeight="false" outlineLevel="0" collapsed="false">
      <c r="A61" s="11" t="s">
        <v>143</v>
      </c>
      <c r="B61" s="11" t="n">
        <v>3</v>
      </c>
    </row>
    <row r="62" customFormat="false" ht="15" hidden="false" customHeight="false" outlineLevel="0" collapsed="false">
      <c r="A62" s="11" t="s">
        <v>144</v>
      </c>
      <c r="B62" s="11" t="n">
        <v>2</v>
      </c>
    </row>
    <row r="64" customFormat="false" ht="16.15" hidden="false" customHeight="false" outlineLevel="0" collapsed="false">
      <c r="A64" s="3" t="s">
        <v>145</v>
      </c>
    </row>
    <row r="65" customFormat="false" ht="15" hidden="false" customHeight="true" outlineLevel="0" collapsed="false">
      <c r="A65" s="4" t="s">
        <v>146</v>
      </c>
      <c r="B65" s="4"/>
      <c r="C65" s="4"/>
      <c r="D65" s="4"/>
      <c r="E65" s="4"/>
      <c r="F65" s="4"/>
      <c r="G65" s="4"/>
      <c r="H65" s="4"/>
      <c r="I65" s="4"/>
      <c r="J65" s="4"/>
    </row>
    <row r="66" customFormat="false" ht="15" hidden="false" customHeight="true" outlineLevel="0" collapsed="false">
      <c r="A66" s="4" t="s">
        <v>147</v>
      </c>
      <c r="B66" s="4"/>
      <c r="C66" s="4"/>
      <c r="D66" s="4"/>
      <c r="E66" s="4"/>
      <c r="F66" s="4"/>
      <c r="G66" s="4"/>
      <c r="H66" s="4"/>
      <c r="I66" s="4"/>
      <c r="J66" s="4"/>
    </row>
    <row r="67" customFormat="false" ht="15" hidden="false" customHeight="true" outlineLevel="0" collapsed="false">
      <c r="A67" s="4" t="s">
        <v>148</v>
      </c>
      <c r="B67" s="4"/>
      <c r="C67" s="4"/>
      <c r="D67" s="4"/>
      <c r="E67" s="4"/>
      <c r="F67" s="4"/>
      <c r="G67" s="4"/>
      <c r="H67" s="4"/>
      <c r="I67" s="4"/>
      <c r="J67" s="4"/>
    </row>
    <row r="68" customFormat="false" ht="26.85" hidden="false" customHeight="true" outlineLevel="0" collapsed="false">
      <c r="A68" s="4" t="s">
        <v>149</v>
      </c>
      <c r="B68" s="4"/>
      <c r="C68" s="4"/>
      <c r="D68" s="4"/>
      <c r="E68" s="4"/>
      <c r="F68" s="4"/>
      <c r="G68" s="4"/>
      <c r="H68" s="4"/>
      <c r="I68" s="4"/>
      <c r="J68" s="4"/>
    </row>
    <row r="70" customFormat="false" ht="15" hidden="false" customHeight="false" outlineLevel="0" collapsed="false">
      <c r="A70" s="10" t="s">
        <v>150</v>
      </c>
      <c r="B70" s="10"/>
      <c r="C70" s="10"/>
      <c r="D70" s="10"/>
      <c r="E70" s="10"/>
    </row>
    <row r="71" customFormat="false" ht="15" hidden="false" customHeight="false" outlineLevel="0" collapsed="false">
      <c r="B71" s="10" t="s">
        <v>141</v>
      </c>
      <c r="C71" s="10" t="s">
        <v>142</v>
      </c>
      <c r="D71" s="10" t="s">
        <v>143</v>
      </c>
      <c r="E71" s="10" t="s">
        <v>144</v>
      </c>
    </row>
    <row r="72" customFormat="false" ht="15" hidden="false" customHeight="false" outlineLevel="0" collapsed="false">
      <c r="A72" s="21" t="s">
        <v>151</v>
      </c>
      <c r="B72" s="22" t="n">
        <v>4</v>
      </c>
      <c r="C72" s="23" t="n">
        <v>2</v>
      </c>
      <c r="D72" s="24" t="n">
        <v>0</v>
      </c>
      <c r="E72" s="24" t="n">
        <v>0</v>
      </c>
    </row>
    <row r="73" customFormat="false" ht="15" hidden="false" customHeight="false" outlineLevel="0" collapsed="false">
      <c r="A73" s="21" t="s">
        <v>152</v>
      </c>
      <c r="B73" s="25" t="n">
        <v>3</v>
      </c>
      <c r="C73" s="23" t="n">
        <v>2</v>
      </c>
      <c r="D73" s="24" t="n">
        <v>0</v>
      </c>
      <c r="E73" s="24" t="n">
        <v>0</v>
      </c>
    </row>
    <row r="74" customFormat="false" ht="15" hidden="false" customHeight="false" outlineLevel="0" collapsed="false">
      <c r="A74" s="21" t="s">
        <v>153</v>
      </c>
      <c r="B74" s="26" t="n">
        <v>1</v>
      </c>
      <c r="C74" s="26" t="n">
        <v>1</v>
      </c>
      <c r="D74" s="26" t="n">
        <v>1</v>
      </c>
      <c r="E74" s="26" t="n">
        <v>1</v>
      </c>
    </row>
    <row r="75" customFormat="false" ht="15" hidden="false" customHeight="false" outlineLevel="0" collapsed="false">
      <c r="A75" s="21" t="s">
        <v>154</v>
      </c>
      <c r="B75" s="26" t="n">
        <v>1</v>
      </c>
      <c r="C75" s="26" t="n">
        <v>1</v>
      </c>
      <c r="D75" s="23" t="n">
        <v>2</v>
      </c>
      <c r="E75" s="23" t="n">
        <v>2</v>
      </c>
    </row>
    <row r="77" customFormat="false" ht="26.85" hidden="false" customHeight="true" outlineLevel="0" collapsed="false">
      <c r="A77" s="2" t="s">
        <v>155</v>
      </c>
      <c r="B77" s="2"/>
      <c r="C77" s="2"/>
      <c r="D77" s="2"/>
      <c r="E77" s="2"/>
      <c r="F77" s="2"/>
      <c r="G77" s="2"/>
      <c r="H77" s="2"/>
      <c r="I77" s="2"/>
      <c r="J77" s="2"/>
    </row>
  </sheetData>
  <mergeCells count="12">
    <mergeCell ref="A2:J2"/>
    <mergeCell ref="A5:J5"/>
    <mergeCell ref="A6:J6"/>
    <mergeCell ref="A8:D8"/>
    <mergeCell ref="A31:J31"/>
    <mergeCell ref="A56:J56"/>
    <mergeCell ref="A65:J65"/>
    <mergeCell ref="A66:J66"/>
    <mergeCell ref="A67:J67"/>
    <mergeCell ref="A68:J68"/>
    <mergeCell ref="A70:E70"/>
    <mergeCell ref="A77:J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2026-05-07T07:56:24Z</dcterms:created>
  <dc:creator>openpyxl</dc:creator>
  <dc:description/>
  <dc:language>en-US</dc:language>
  <cp:lastModifiedBy/>
  <dcterms:modified xsi:type="dcterms:W3CDTF">2026-05-07T07:56:26Z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